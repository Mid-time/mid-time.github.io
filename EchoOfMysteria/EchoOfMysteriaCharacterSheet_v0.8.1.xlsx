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 tabRatio="613" activeTab="2"/>
  </bookViews>
  <sheets>
    <sheet name="角色卡 v0.8.1" sheetId="1" r:id="rId1"/>
    <sheet name="计算器" sheetId="2" r:id="rId2"/>
    <sheet name="查询附表" sheetId="3" r:id="rId3"/>
    <sheet name="地图" sheetId="4" r:id="rId4"/>
  </sheets>
  <definedNames>
    <definedName name="_xlnm._FilterDatabase" localSheetId="2" hidden="1">查询附表!$I$5:$I$74</definedName>
    <definedName name="_xlnm._FilterDatabase" localSheetId="3" hidden="1">地图!$D$4:$W$5</definedName>
    <definedName name="_xlnm._FilterDatabase" localSheetId="0" hidden="1">#REF!</definedName>
    <definedName name="_xlnm._FilterDatabase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<sst xmlns="http://schemas.openxmlformats.org/spreadsheetml/2006/main" count="1578" uniqueCount="1340">
  <si>
    <t>人格 Personality</t>
  </si>
  <si>
    <t>Ver</t>
  </si>
  <si>
    <t>0.8.1</t>
  </si>
  <si>
    <t>技能 Skill</t>
  </si>
  <si>
    <t>技能点</t>
  </si>
  <si>
    <t>资产 Storage</t>
  </si>
  <si>
    <t>金钱</t>
  </si>
  <si>
    <t>体格</t>
  </si>
  <si>
    <t>威能</t>
  </si>
  <si>
    <t>玩家</t>
  </si>
  <si>
    <t>识别名</t>
  </si>
  <si>
    <t>总和：</t>
  </si>
  <si>
    <t>职业</t>
  </si>
  <si>
    <t>天赋点</t>
  </si>
  <si>
    <t>力量x体质</t>
  </si>
  <si>
    <t>[-1,-3]</t>
  </si>
  <si>
    <t>姓名</t>
  </si>
  <si>
    <t>角色名</t>
  </si>
  <si>
    <t>力量</t>
  </si>
  <si>
    <t>体质</t>
  </si>
  <si>
    <t>耐性</t>
  </si>
  <si>
    <t>体力</t>
  </si>
  <si>
    <t>清醒</t>
  </si>
  <si>
    <t>等级</t>
  </si>
  <si>
    <t>经验</t>
  </si>
  <si>
    <t>/4</t>
  </si>
  <si>
    <t>力量x耐性</t>
  </si>
  <si>
    <t>[-1,-2]</t>
  </si>
  <si>
    <t>性别</t>
  </si>
  <si>
    <t>男/女</t>
  </si>
  <si>
    <t>阈值</t>
  </si>
  <si>
    <t>力量x速度</t>
  </si>
  <si>
    <t>[0,-1]</t>
  </si>
  <si>
    <t>年龄</t>
  </si>
  <si>
    <t>16-30</t>
  </si>
  <si>
    <t>速度</t>
  </si>
  <si>
    <t>魅力</t>
  </si>
  <si>
    <t>智慧</t>
  </si>
  <si>
    <t>闪避</t>
  </si>
  <si>
    <t>射击</t>
  </si>
  <si>
    <t>爆破</t>
  </si>
  <si>
    <t>投掷</t>
  </si>
  <si>
    <t>白刃</t>
  </si>
  <si>
    <t>格斗</t>
  </si>
  <si>
    <t>器械</t>
  </si>
  <si>
    <t>扫射</t>
  </si>
  <si>
    <t>力量x魅力</t>
  </si>
  <si>
    <t>[0,0]</t>
  </si>
  <si>
    <t>身高</t>
  </si>
  <si>
    <t>???cm/?.?m</t>
  </si>
  <si>
    <t>魔力</t>
  </si>
  <si>
    <t>诈欺</t>
  </si>
  <si>
    <t>恐吓</t>
  </si>
  <si>
    <t>辱骂</t>
  </si>
  <si>
    <t>诽谤</t>
  </si>
  <si>
    <t>取悦</t>
  </si>
  <si>
    <t>心理</t>
  </si>
  <si>
    <t>诅咒</t>
  </si>
  <si>
    <t>说服</t>
  </si>
  <si>
    <t>力量x智慧</t>
  </si>
  <si>
    <t>[0,+1]</t>
  </si>
  <si>
    <t>体重</t>
  </si>
  <si>
    <t>???kg</t>
  </si>
  <si>
    <t>灵感</t>
  </si>
  <si>
    <t>决心</t>
  </si>
  <si>
    <t>幸运</t>
  </si>
  <si>
    <t>人格</t>
  </si>
  <si>
    <t>中性</t>
  </si>
  <si>
    <t>工匠</t>
  </si>
  <si>
    <t>运动</t>
  </si>
  <si>
    <t>驾驶</t>
  </si>
  <si>
    <t>会计</t>
  </si>
  <si>
    <t>烹饪</t>
  </si>
  <si>
    <t>维修</t>
  </si>
  <si>
    <t>法律</t>
  </si>
  <si>
    <t>伪造</t>
  </si>
  <si>
    <t>力量x灵感</t>
  </si>
  <si>
    <t>[0,+2]</t>
  </si>
  <si>
    <t>现居</t>
  </si>
  <si>
    <t>伦敦</t>
  </si>
  <si>
    <t>侵蚀</t>
  </si>
  <si>
    <t>化学</t>
  </si>
  <si>
    <t>占卜</t>
  </si>
  <si>
    <t>验尸</t>
  </si>
  <si>
    <t>锻造</t>
  </si>
  <si>
    <t>绘画</t>
  </si>
  <si>
    <t>游泳</t>
  </si>
  <si>
    <t>历史</t>
  </si>
  <si>
    <t>乔装</t>
  </si>
  <si>
    <t>力量x决心</t>
  </si>
  <si>
    <t>[+1,+4]</t>
  </si>
  <si>
    <t>探索</t>
  </si>
  <si>
    <t>妙手</t>
  </si>
  <si>
    <t>工程</t>
  </si>
  <si>
    <t>查询</t>
  </si>
  <si>
    <t>摄影</t>
  </si>
  <si>
    <t>地质</t>
  </si>
  <si>
    <t>宗教</t>
  </si>
  <si>
    <t>药理</t>
  </si>
  <si>
    <t>体质x耐性</t>
  </si>
  <si>
    <t>装备 Equipment</t>
  </si>
  <si>
    <t>仪式</t>
  </si>
  <si>
    <t>追踪</t>
  </si>
  <si>
    <t>驯兽</t>
  </si>
  <si>
    <t>外语</t>
  </si>
  <si>
    <t>娱乐</t>
  </si>
  <si>
    <t>几何</t>
  </si>
  <si>
    <t>星学</t>
  </si>
  <si>
    <t>种植</t>
  </si>
  <si>
    <t>体质x速度</t>
  </si>
  <si>
    <t>内加</t>
  </si>
  <si>
    <t>倍乘</t>
  </si>
  <si>
    <t>外加</t>
  </si>
  <si>
    <t>出目</t>
  </si>
  <si>
    <t>气象</t>
  </si>
  <si>
    <t>速记</t>
  </si>
  <si>
    <t>潜行</t>
  </si>
  <si>
    <t>采集</t>
  </si>
  <si>
    <t>治疗</t>
  </si>
  <si>
    <t>电学</t>
  </si>
  <si>
    <t>博学</t>
  </si>
  <si>
    <t>垂钓</t>
  </si>
  <si>
    <t>体质x魅力</t>
  </si>
  <si>
    <t>状态</t>
  </si>
  <si>
    <t>基础</t>
  </si>
  <si>
    <t>天赋</t>
  </si>
  <si>
    <t>腕</t>
  </si>
  <si>
    <t>空手</t>
  </si>
  <si>
    <t>手</t>
  </si>
  <si>
    <t>背包</t>
  </si>
  <si>
    <t>2g</t>
  </si>
  <si>
    <t>傲慢</t>
  </si>
  <si>
    <t>嫉妒</t>
  </si>
  <si>
    <t>暴戾</t>
  </si>
  <si>
    <t>贪食</t>
  </si>
  <si>
    <t>色欲</t>
  </si>
  <si>
    <t>抑郁</t>
  </si>
  <si>
    <t>虚荣</t>
  </si>
  <si>
    <t>偏执</t>
  </si>
  <si>
    <t>体质x智慧</t>
  </si>
  <si>
    <t>生物质
钝击1-3
招架1-3</t>
  </si>
  <si>
    <t>这里是名称</t>
  </si>
  <si>
    <t>体质x灵感</t>
  </si>
  <si>
    <t>恢复</t>
  </si>
  <si>
    <t>特异 Specialize</t>
  </si>
  <si>
    <t>特质点</t>
  </si>
  <si>
    <t>经历 Experience</t>
  </si>
  <si>
    <t>修正</t>
  </si>
  <si>
    <t>体质x决心</t>
  </si>
  <si>
    <t>耐性x速度</t>
  </si>
  <si>
    <t>头</t>
  </si>
  <si>
    <t>身</t>
  </si>
  <si>
    <t>足</t>
  </si>
  <si>
    <t>阵营</t>
  </si>
  <si>
    <t>无阵营</t>
  </si>
  <si>
    <t>无信仰</t>
  </si>
  <si>
    <t>倾向</t>
  </si>
  <si>
    <t>无倾向</t>
  </si>
  <si>
    <t>源质</t>
  </si>
  <si>
    <t>无明显源质</t>
  </si>
  <si>
    <t>外观
Appearance</t>
  </si>
  <si>
    <t>此处应该填人物自身给别人带来的印象，可以不填</t>
  </si>
  <si>
    <t>耐性x魅力</t>
  </si>
  <si>
    <t>耐性x智慧</t>
  </si>
  <si>
    <t>豁免</t>
  </si>
  <si>
    <t>性格
Disposition</t>
  </si>
  <si>
    <t>此处应该填人物自身的人格属性，可以不填</t>
  </si>
  <si>
    <t>耐性x灵感</t>
  </si>
  <si>
    <t>伤害</t>
  </si>
  <si>
    <t>属性</t>
  </si>
  <si>
    <t>装备</t>
  </si>
  <si>
    <t>耐性x决心</t>
  </si>
  <si>
    <t>物防</t>
  </si>
  <si>
    <t>饰</t>
  </si>
  <si>
    <t>心系
Treasure</t>
  </si>
  <si>
    <t>此处应该填人物自身心心念念人/物，可以不填</t>
  </si>
  <si>
    <t>速度x魅力</t>
  </si>
  <si>
    <t>法防</t>
  </si>
  <si>
    <t>速度x智慧</t>
  </si>
  <si>
    <t>物抗</t>
  </si>
  <si>
    <t>难言
Sin</t>
  </si>
  <si>
    <t>此处应该填人物自身阴暗面/伤疤/心灵的伤口，可以不填</t>
  </si>
  <si>
    <t>速度x灵感</t>
  </si>
  <si>
    <t>法抗</t>
  </si>
  <si>
    <t>速度x决心</t>
  </si>
  <si>
    <t>增益</t>
  </si>
  <si>
    <t>重量</t>
  </si>
  <si>
    <t>过去的故事
Past Stories</t>
  </si>
  <si>
    <t>此处应该填人物自身过去遭遇的事情，或是幼年的家庭环境，或是少时的学习环境，直到在听到神秘之声之前，可以不写</t>
  </si>
  <si>
    <t>魅力x智慧</t>
  </si>
  <si>
    <t>失常 Abnormality</t>
  </si>
  <si>
    <t>魅力x灵感</t>
  </si>
  <si>
    <t>魅力x决心</t>
  </si>
  <si>
    <t>其他</t>
  </si>
  <si>
    <t>流血</t>
  </si>
  <si>
    <t>-</t>
  </si>
  <si>
    <t>打击</t>
  </si>
  <si>
    <t>突刺</t>
  </si>
  <si>
    <t>烧伤</t>
  </si>
  <si>
    <t>冰冻</t>
  </si>
  <si>
    <t>麻痹</t>
  </si>
  <si>
    <t>剧本1</t>
  </si>
  <si>
    <t>不用管</t>
  </si>
  <si>
    <t>智慧x灵感</t>
  </si>
  <si>
    <t>负重</t>
  </si>
  <si>
    <t>窒息</t>
  </si>
  <si>
    <t>碾压</t>
  </si>
  <si>
    <t>拉扯</t>
  </si>
  <si>
    <t>酸蚀</t>
  </si>
  <si>
    <t>冲击</t>
  </si>
  <si>
    <t>凋亡</t>
  </si>
  <si>
    <t>智慧x决心</t>
  </si>
  <si>
    <t>混乱</t>
  </si>
  <si>
    <t>崇敬</t>
  </si>
  <si>
    <t>悲悯</t>
  </si>
  <si>
    <t>守护</t>
  </si>
  <si>
    <t>管理</t>
  </si>
  <si>
    <t>爱慕</t>
  </si>
  <si>
    <t>理解</t>
  </si>
  <si>
    <t>模范</t>
  </si>
  <si>
    <t>忠诚</t>
  </si>
  <si>
    <t>灵感x决心</t>
  </si>
  <si>
    <t>谦逊</t>
  </si>
  <si>
    <t>欣赏</t>
  </si>
  <si>
    <t>义愤</t>
  </si>
  <si>
    <t>广爱</t>
  </si>
  <si>
    <t>共情</t>
  </si>
  <si>
    <t>冷静</t>
  </si>
  <si>
    <t>布施</t>
  </si>
  <si>
    <t>醒悟</t>
  </si>
  <si>
    <t>理智</t>
  </si>
  <si>
    <t>傲世</t>
  </si>
  <si>
    <t>攀比</t>
  </si>
  <si>
    <t>暴躁</t>
  </si>
  <si>
    <t>囤积</t>
  </si>
  <si>
    <t>放纵</t>
  </si>
  <si>
    <t>麻木</t>
  </si>
  <si>
    <t>表演</t>
  </si>
  <si>
    <t>多疑</t>
  </si>
  <si>
    <t>行动倾向</t>
  </si>
  <si>
    <t>支配</t>
  </si>
  <si>
    <t>猜忌</t>
  </si>
  <si>
    <t>挑衅</t>
  </si>
  <si>
    <t>市侩</t>
  </si>
  <si>
    <t>服从</t>
  </si>
  <si>
    <t>疏离</t>
  </si>
  <si>
    <t>吹嘘</t>
  </si>
  <si>
    <t>刻板</t>
  </si>
  <si>
    <t>逻辑倾向</t>
  </si>
  <si>
    <t>轻蔑</t>
  </si>
  <si>
    <t>憎恨</t>
  </si>
  <si>
    <t>施虐</t>
  </si>
  <si>
    <t>渴求</t>
  </si>
  <si>
    <t>占有</t>
  </si>
  <si>
    <t>自毁</t>
  </si>
  <si>
    <t>恶意</t>
  </si>
  <si>
    <t>背叛</t>
  </si>
  <si>
    <t>扭曲 Distortion of Ego</t>
  </si>
  <si>
    <t>神秘倾向</t>
  </si>
  <si>
    <t>狂妄</t>
  </si>
  <si>
    <t>仇嫉</t>
  </si>
  <si>
    <t>毁坏</t>
  </si>
  <si>
    <t>暴食</t>
  </si>
  <si>
    <t>欢愉</t>
  </si>
  <si>
    <t>宿命</t>
  </si>
  <si>
    <t>幻想</t>
  </si>
  <si>
    <t>封闭</t>
  </si>
  <si>
    <t>不定
Pendulum</t>
  </si>
  <si>
    <t>你尚未扭曲</t>
  </si>
  <si>
    <t>技巧 Tech</t>
  </si>
  <si>
    <t>术式</t>
  </si>
  <si>
    <t>无</t>
  </si>
  <si>
    <t>特性计算器</t>
  </si>
  <si>
    <t>商店购买计算器</t>
  </si>
  <si>
    <t>职业查询</t>
  </si>
  <si>
    <t>特性名称</t>
  </si>
  <si>
    <t>计算结果</t>
  </si>
  <si>
    <t>效果</t>
  </si>
  <si>
    <t>我不会填特性！以下是格式参照</t>
  </si>
  <si>
    <t>物品名称</t>
  </si>
  <si>
    <t>数量</t>
  </si>
  <si>
    <t>金额</t>
  </si>
  <si>
    <t>我不会填装备！以下是格式参照</t>
  </si>
  <si>
    <t>职业名</t>
  </si>
  <si>
    <t>职业名（下拉）</t>
  </si>
  <si>
    <t>序号</t>
  </si>
  <si>
    <t>类型</t>
  </si>
  <si>
    <t>填写全名</t>
  </si>
  <si>
    <t>撕裂</t>
  </si>
  <si>
    <t>刺剑</t>
  </si>
  <si>
    <t>电工</t>
  </si>
  <si>
    <t>注意错别字</t>
  </si>
  <si>
    <t>深度伤口</t>
  </si>
  <si>
    <t>软木甲</t>
  </si>
  <si>
    <t>精准打击</t>
  </si>
  <si>
    <t>安全帽</t>
  </si>
  <si>
    <t>生命药水</t>
  </si>
  <si>
    <t>仅读取第一项作为参考</t>
  </si>
  <si>
    <t>烟雾瓶</t>
  </si>
  <si>
    <t>部分Teller可能会帮你填</t>
  </si>
  <si>
    <t>*注：不要购买复数个
目前尚未加入部位索引，请自行填写</t>
  </si>
  <si>
    <t>负重：</t>
  </si>
  <si>
    <t>特性计算器（下拉版）</t>
  </si>
  <si>
    <t>商店购买计算器（下拉版）</t>
  </si>
  <si>
    <t>我不会填背包！以下是格式参照</t>
  </si>
  <si>
    <t>脑震荡</t>
  </si>
  <si>
    <t>新手鱼饵</t>
  </si>
  <si>
    <t>新陈代谢</t>
  </si>
  <si>
    <t>仅读取前两项作为参考</t>
  </si>
  <si>
    <t>无职</t>
  </si>
  <si>
    <t>调整数字选择职业</t>
  </si>
  <si>
    <t>通用</t>
  </si>
  <si>
    <t>将功补过</t>
  </si>
  <si>
    <t>失去4技能点</t>
  </si>
  <si>
    <t>请选择阵营</t>
  </si>
  <si>
    <t>请选择倾向</t>
  </si>
  <si>
    <t>你目前不属于任何一个教会</t>
  </si>
  <si>
    <t>游春</t>
  </si>
  <si>
    <t>战士</t>
  </si>
  <si>
    <t>白刃 格斗</t>
  </si>
  <si>
    <t>首当其冲 拳拳到肉</t>
  </si>
  <si>
    <t>精益求精</t>
  </si>
  <si>
    <t>获得3技能点</t>
  </si>
  <si>
    <t>获得6技能点</t>
  </si>
  <si>
    <t>获得9技能点</t>
  </si>
  <si>
    <t>守序善良</t>
  </si>
  <si>
    <t>豁免+10 善良发生+10%</t>
  </si>
  <si>
    <t>直接，冲动，倡导简单暴力，你遵循人最原始的欲望</t>
  </si>
  <si>
    <t>One 拜辰会</t>
  </si>
  <si>
    <t>加入条件：虔诚主义</t>
  </si>
  <si>
    <t>主义</t>
  </si>
  <si>
    <t>渌水</t>
  </si>
  <si>
    <t>工人</t>
  </si>
  <si>
    <t>工程 采集</t>
  </si>
  <si>
    <t>铜墙铁壁 团结力量</t>
  </si>
  <si>
    <t>深度学习</t>
  </si>
  <si>
    <t>获得1通用天赋点</t>
  </si>
  <si>
    <t>药水</t>
  </si>
  <si>
    <t>HP+6 HP恢复抑制</t>
  </si>
  <si>
    <t>守序中立</t>
  </si>
  <si>
    <t>豁免+10 中立发生+10%</t>
  </si>
  <si>
    <t>客观，冷静，倡导面对真相，你追求事物最本质的特征</t>
  </si>
  <si>
    <t>Two 谐光会</t>
  </si>
  <si>
    <t>加入条件：实用主义</t>
  </si>
  <si>
    <t>惊蛰</t>
  </si>
  <si>
    <t>行医</t>
  </si>
  <si>
    <t>运动 治疗</t>
  </si>
  <si>
    <t>钢筋铁骨 手术</t>
  </si>
  <si>
    <t>魔力药水</t>
  </si>
  <si>
    <t>MP+6 MP恢复抑制</t>
  </si>
  <si>
    <t>守序邪恶</t>
  </si>
  <si>
    <t>豁免+10 敌对发生+10%</t>
  </si>
  <si>
    <t>感性，抽象，倡导直觉象征，你认为一切无法解释都在超维面上合理</t>
  </si>
  <si>
    <t>Thie 黎明学会</t>
  </si>
  <si>
    <t>加入条件：阵营为混乱</t>
  </si>
  <si>
    <t>离鸿</t>
  </si>
  <si>
    <t>格斗家</t>
  </si>
  <si>
    <t>格斗 闪避</t>
  </si>
  <si>
    <t>保养 规避伤害</t>
  </si>
  <si>
    <t>数值</t>
  </si>
  <si>
    <t>安心</t>
  </si>
  <si>
    <t>精神恢复+15%</t>
  </si>
  <si>
    <t>精神恢复+30%</t>
  </si>
  <si>
    <t>精神恢复+45%</t>
  </si>
  <si>
    <t>安定药水</t>
  </si>
  <si>
    <t>SP+6 SP恢复抑制</t>
  </si>
  <si>
    <t>中立善良</t>
  </si>
  <si>
    <t>善良发生+10%</t>
  </si>
  <si>
    <t>Four 决裁会</t>
  </si>
  <si>
    <t>加入条件：阵营为守序</t>
  </si>
  <si>
    <t>家族</t>
  </si>
  <si>
    <t>清明</t>
  </si>
  <si>
    <t>厨师</t>
  </si>
  <si>
    <t>烹饪 速记</t>
  </si>
  <si>
    <t>口腹之欲 休养生息</t>
  </si>
  <si>
    <t>遏制</t>
  </si>
  <si>
    <t>考验豁免+6%</t>
  </si>
  <si>
    <t>考验豁免+12%</t>
  </si>
  <si>
    <t>考验豁免+20%</t>
  </si>
  <si>
    <t>箭术药水</t>
  </si>
  <si>
    <t>+20%射击命中率</t>
  </si>
  <si>
    <t>绝对中立</t>
  </si>
  <si>
    <t>中立发生+10%</t>
  </si>
  <si>
    <t>Five 双心联会</t>
  </si>
  <si>
    <t>加入条件：阵营为邪恶</t>
  </si>
  <si>
    <t>疾病</t>
  </si>
  <si>
    <t>谷雨</t>
  </si>
  <si>
    <t>矿工</t>
  </si>
  <si>
    <t>采集 地质</t>
  </si>
  <si>
    <t>钢筋铁骨 精炼</t>
  </si>
  <si>
    <t>复习</t>
  </si>
  <si>
    <t>经验+20%</t>
  </si>
  <si>
    <t>经验+40%</t>
  </si>
  <si>
    <t>经验+60%</t>
  </si>
  <si>
    <t>战斗药水</t>
  </si>
  <si>
    <t>+20%近战命中率</t>
  </si>
  <si>
    <t>中立邪恶</t>
  </si>
  <si>
    <t>敌对发生+10%</t>
  </si>
  <si>
    <t>Six 太阳教会</t>
  </si>
  <si>
    <t>加入条件：喜欢太阳（无条件）</t>
  </si>
  <si>
    <t>血统</t>
  </si>
  <si>
    <t>明晨</t>
  </si>
  <si>
    <t>弄臣</t>
  </si>
  <si>
    <t>取悦 妙手</t>
  </si>
  <si>
    <t>表演 把戏</t>
  </si>
  <si>
    <t>富血</t>
  </si>
  <si>
    <t>体力上限+17%</t>
  </si>
  <si>
    <t>体力上限+33%</t>
  </si>
  <si>
    <t>体力上限+50%</t>
  </si>
  <si>
    <t>镇静药水</t>
  </si>
  <si>
    <t>+20%精神伤害抗性</t>
  </si>
  <si>
    <t>混乱善良</t>
  </si>
  <si>
    <t>豁免-10 善良发生+10%</t>
  </si>
  <si>
    <t>Seven 工人同盟会</t>
  </si>
  <si>
    <t>加入条件：非资产家</t>
  </si>
  <si>
    <t>境界</t>
  </si>
  <si>
    <t>小满</t>
  </si>
  <si>
    <t>渔夫</t>
  </si>
  <si>
    <t>气象 垂钓</t>
  </si>
  <si>
    <t>休养生息 声呐</t>
  </si>
  <si>
    <t>钢铁意志</t>
  </si>
  <si>
    <t>SP抵抗6%</t>
  </si>
  <si>
    <t>SP抵抗13%</t>
  </si>
  <si>
    <t>SP抵抗20%</t>
  </si>
  <si>
    <t>危险感药水</t>
  </si>
  <si>
    <t>灵知：危险</t>
  </si>
  <si>
    <t>混乱中立</t>
  </si>
  <si>
    <t>豁免-10 中立发生+10%</t>
  </si>
  <si>
    <t>Eith 昆虫研究所</t>
  </si>
  <si>
    <t>芒种</t>
  </si>
  <si>
    <t>走私者</t>
  </si>
  <si>
    <t>取悦 乔装</t>
  </si>
  <si>
    <t>多面手 夜行</t>
  </si>
  <si>
    <t>规避伤害</t>
  </si>
  <si>
    <t>物理近战伤害抵抗5%</t>
  </si>
  <si>
    <t>物理近战伤害抵抗10%</t>
  </si>
  <si>
    <t>物理近战伤害抵抗15%</t>
  </si>
  <si>
    <t>耐力药水</t>
  </si>
  <si>
    <t>+10%物理伤害抗性</t>
  </si>
  <si>
    <t>混乱邪恶</t>
  </si>
  <si>
    <t>豁免-10 敌对发生+10%</t>
  </si>
  <si>
    <t>Nin 真实研究所</t>
  </si>
  <si>
    <t>加入条件：唯物主义（尽管如此，他们依旧相信真眼的存在，因为他们认为真眼是一位人源神——即人造的神）</t>
  </si>
  <si>
    <t>幽居</t>
  </si>
  <si>
    <t>侍从</t>
  </si>
  <si>
    <t>查询 追踪</t>
  </si>
  <si>
    <t>堡垒 友善</t>
  </si>
  <si>
    <t>回忆</t>
  </si>
  <si>
    <t>MP恢复+10%</t>
  </si>
  <si>
    <t>MP恢复+20%</t>
  </si>
  <si>
    <t>MP恢复+30%</t>
  </si>
  <si>
    <t>钓鱼药水</t>
  </si>
  <si>
    <t>+10%渔力</t>
  </si>
  <si>
    <t>Ten 红十字会</t>
  </si>
  <si>
    <t>加入条件：阵营为善良</t>
  </si>
  <si>
    <t>焦泉</t>
  </si>
  <si>
    <t>百夫长</t>
  </si>
  <si>
    <t>器械 诽谤</t>
  </si>
  <si>
    <t>团队信念 安抚情绪</t>
  </si>
  <si>
    <t>界限突破</t>
  </si>
  <si>
    <t>CP出目上限+5</t>
  </si>
  <si>
    <t>CP出目上限+10</t>
  </si>
  <si>
    <t>CP出目上限+15</t>
  </si>
  <si>
    <t>鱼鳃药水</t>
  </si>
  <si>
    <t>肺活量提高</t>
  </si>
  <si>
    <t>Evel 谊和团</t>
  </si>
  <si>
    <t>流金</t>
  </si>
  <si>
    <t>力士</t>
  </si>
  <si>
    <t>烹饪 药理</t>
  </si>
  <si>
    <t>口腹之欲 新陈代谢</t>
  </si>
  <si>
    <t>命中率+5%</t>
  </si>
  <si>
    <t>命中率+10%</t>
  </si>
  <si>
    <t>命中率+15%</t>
  </si>
  <si>
    <t>幸运药水</t>
  </si>
  <si>
    <t>+10%幸运</t>
  </si>
  <si>
    <t>Twel 晨眠会</t>
  </si>
  <si>
    <t>加入条件：喜欢睡觉（无条件）</t>
  </si>
  <si>
    <t>商风</t>
  </si>
  <si>
    <t>探险家</t>
  </si>
  <si>
    <t>运动 探索</t>
  </si>
  <si>
    <t>寻宝 夜行</t>
  </si>
  <si>
    <t>宽慰</t>
  </si>
  <si>
    <t>SP恢复+10%</t>
  </si>
  <si>
    <t>SP恢复+20%</t>
  </si>
  <si>
    <t>SP恢复+30%</t>
  </si>
  <si>
    <t>爱情药水</t>
  </si>
  <si>
    <t>发情</t>
  </si>
  <si>
    <t>Thir 飞行经济组织</t>
  </si>
  <si>
    <t>加入条件：无条件，但需要定期交钱</t>
  </si>
  <si>
    <t>处暑</t>
  </si>
  <si>
    <t>敲钟人</t>
  </si>
  <si>
    <t>心理 占卜</t>
  </si>
  <si>
    <t>夜行 时不我待</t>
  </si>
  <si>
    <t>拳拳到肉</t>
  </si>
  <si>
    <t>物理伤害+8%</t>
  </si>
  <si>
    <t>物理伤害+16%</t>
  </si>
  <si>
    <t>物理伤害+24%</t>
  </si>
  <si>
    <t>铁皮药水</t>
  </si>
  <si>
    <t>+1护甲</t>
  </si>
  <si>
    <t>For 茫雾社</t>
  </si>
  <si>
    <t>白露</t>
  </si>
  <si>
    <t>税收官</t>
  </si>
  <si>
    <t>速记 会计</t>
  </si>
  <si>
    <t>业绩 震慑</t>
  </si>
  <si>
    <t>人间烟火</t>
  </si>
  <si>
    <t>SP上限+10%</t>
  </si>
  <si>
    <t>SP上限+20%</t>
  </si>
  <si>
    <t>SP上限+30%</t>
  </si>
  <si>
    <t>+20%HP上限</t>
  </si>
  <si>
    <t>Fif 异象研究社</t>
  </si>
  <si>
    <t>坐愁</t>
  </si>
  <si>
    <t>杀手</t>
  </si>
  <si>
    <t>白刃 诈欺</t>
  </si>
  <si>
    <t>一击致命 直击弱点</t>
  </si>
  <si>
    <t>通识</t>
  </si>
  <si>
    <t>MP上限+10%</t>
  </si>
  <si>
    <t>MP上限+20%</t>
  </si>
  <si>
    <t>MP上限+30%</t>
  </si>
  <si>
    <t>魔能药水</t>
  </si>
  <si>
    <t>+20%MP上限</t>
  </si>
  <si>
    <t>Sis 异构体研究组织</t>
  </si>
  <si>
    <t>落叶</t>
  </si>
  <si>
    <t>狂徒</t>
  </si>
  <si>
    <t>扫射 心理</t>
  </si>
  <si>
    <t>生生不息 傲世</t>
  </si>
  <si>
    <t>铜墙铁壁</t>
  </si>
  <si>
    <t>耐性+0.3</t>
  </si>
  <si>
    <t>耐性+0.6</t>
  </si>
  <si>
    <t>耐性+1</t>
  </si>
  <si>
    <t>魔力再生药水</t>
  </si>
  <si>
    <t>+50%MP自然恢复</t>
  </si>
  <si>
    <t>Sev 十七研究所</t>
  </si>
  <si>
    <t>加入条件：无条件</t>
  </si>
  <si>
    <t>霜降</t>
  </si>
  <si>
    <t>窃贼</t>
  </si>
  <si>
    <t>妙手 潜行</t>
  </si>
  <si>
    <t>把戏 藏匿</t>
  </si>
  <si>
    <t>外接动力</t>
  </si>
  <si>
    <t>CP+1</t>
  </si>
  <si>
    <t>CP+2</t>
  </si>
  <si>
    <t>CP+3</t>
  </si>
  <si>
    <t>夜视药水</t>
  </si>
  <si>
    <t>灵视：夜</t>
  </si>
  <si>
    <t>Aug 机械教会</t>
  </si>
  <si>
    <t>加入条件：唯物主义（尽管如此，他们依旧相信机构的存在，因为他们认为机构是一位人源神——即人造的神，通过机械降神的方式）</t>
  </si>
  <si>
    <t>覆霜</t>
  </si>
  <si>
    <t>侩子手</t>
  </si>
  <si>
    <t>验尸 恐吓</t>
  </si>
  <si>
    <t>直击弱点 痛楚</t>
  </si>
  <si>
    <t>休养生息</t>
  </si>
  <si>
    <t>体力恢复+10%</t>
  </si>
  <si>
    <t>体力恢复+20%</t>
  </si>
  <si>
    <t>体力恢复+30%</t>
  </si>
  <si>
    <t>愤怒药水</t>
  </si>
  <si>
    <t>+10%暴击率</t>
  </si>
  <si>
    <t>Sep 月亮会</t>
  </si>
  <si>
    <t>加入条件：女性</t>
  </si>
  <si>
    <t>踏雪</t>
  </si>
  <si>
    <t>运动员</t>
  </si>
  <si>
    <t>运动 追踪</t>
  </si>
  <si>
    <t>首当其冲 速战速决</t>
  </si>
  <si>
    <t>正当防卫</t>
  </si>
  <si>
    <t>反击率+3%</t>
  </si>
  <si>
    <t>反击率+6%</t>
  </si>
  <si>
    <t>反击率+10%</t>
  </si>
  <si>
    <t>生命再生药水</t>
  </si>
  <si>
    <t>+20%HP自然恢复</t>
  </si>
  <si>
    <t>Oct 识星会</t>
  </si>
  <si>
    <t>加入条件：星学&gt;1</t>
  </si>
  <si>
    <t>凝和</t>
  </si>
  <si>
    <t>建筑师</t>
  </si>
  <si>
    <t>工程 绘画</t>
  </si>
  <si>
    <t>富裕 匠心</t>
  </si>
  <si>
    <t>直击弱点</t>
  </si>
  <si>
    <t>暴击率+3%</t>
  </si>
  <si>
    <t>暴击率+6%</t>
  </si>
  <si>
    <t>暴击率+10%</t>
  </si>
  <si>
    <t>敏捷药水</t>
  </si>
  <si>
    <t>+20%速度（CP）</t>
  </si>
  <si>
    <t>Nov 铭记书所</t>
  </si>
  <si>
    <t>加入条件：无条件（如果加入该教会，则所有剧本都自带入团背景，因为这个教会会天天派人出去探索并记录世界）</t>
  </si>
  <si>
    <t>流阴</t>
  </si>
  <si>
    <t>园艺师</t>
  </si>
  <si>
    <t>地质 种植</t>
  </si>
  <si>
    <t>休养生息 富血</t>
  </si>
  <si>
    <t>保暖药水</t>
  </si>
  <si>
    <t>灵体：温暖</t>
  </si>
  <si>
    <t>Dec 黄金联会</t>
  </si>
  <si>
    <t>加入条件：无条件，但你必须参加宗教战争</t>
  </si>
  <si>
    <t>寒风</t>
  </si>
  <si>
    <t>水手</t>
  </si>
  <si>
    <t>爆破 游泳</t>
  </si>
  <si>
    <t>铜墙铁壁 水下呼吸</t>
  </si>
  <si>
    <t>加成</t>
  </si>
  <si>
    <t>罪孽考验+5%，罪孽发生时，恢复5%，效果提升10%</t>
  </si>
  <si>
    <t>罪孽考验+10%，罪孽发生时，恢复10%，效果提升20%</t>
  </si>
  <si>
    <t>罪孽考验+15%，罪孽发生时，恢复15%，效果提升30%</t>
  </si>
  <si>
    <t>Jan 午夜结社</t>
  </si>
  <si>
    <t>加入条件：无条件，但你会受到社会的偏见，如果他们知道你是这个教会的人</t>
  </si>
  <si>
    <t>沉云</t>
  </si>
  <si>
    <t>投掷手</t>
  </si>
  <si>
    <t>投掷 几何</t>
  </si>
  <si>
    <t>精准打击 直击弱点</t>
  </si>
  <si>
    <t>减压效果+10%</t>
  </si>
  <si>
    <t>减压效果+20%</t>
  </si>
  <si>
    <t>减压效果+30%</t>
  </si>
  <si>
    <t>烟</t>
  </si>
  <si>
    <t>利群</t>
  </si>
  <si>
    <t>获得烟气I 2-7 失去3-9体力</t>
  </si>
  <si>
    <t>Zeth 宵寂会</t>
  </si>
  <si>
    <t>加入条件：无条件，但你必须遵守所有教会的规则</t>
  </si>
  <si>
    <t>驯兽师</t>
  </si>
  <si>
    <t>器械 驯兽</t>
  </si>
  <si>
    <t>调教 精准打击</t>
  </si>
  <si>
    <t>裁断</t>
  </si>
  <si>
    <t>伤害附加克扣0.3HP</t>
  </si>
  <si>
    <t>伤害附加克扣0.6HP</t>
  </si>
  <si>
    <t>伤害附加克扣1HP</t>
  </si>
  <si>
    <t>黄金叶</t>
  </si>
  <si>
    <t>获得烟气II 2-7 失去2-9体力</t>
  </si>
  <si>
    <t>教练</t>
  </si>
  <si>
    <t>说服 闪避</t>
  </si>
  <si>
    <t>一路顺风 规范动作</t>
  </si>
  <si>
    <t>藏匿</t>
  </si>
  <si>
    <t>仇恨-10%</t>
  </si>
  <si>
    <t>仇恨-20%，阻挡-1</t>
  </si>
  <si>
    <t>仇恨-30%，阻挡-2</t>
  </si>
  <si>
    <t>芙蓉王</t>
  </si>
  <si>
    <t>获得烟气II 4-11 失去4-12体力</t>
  </si>
  <si>
    <t>骑手</t>
  </si>
  <si>
    <t>驾驶 驯兽</t>
  </si>
  <si>
    <t>冲锋陷阵</t>
  </si>
  <si>
    <t>每一个敌人，获得抵抗3%，伤害+10%，最多三层</t>
  </si>
  <si>
    <t>每一个敌人，获得抵抗6%，伤害+20%，最多三层</t>
  </si>
  <si>
    <t>每一个敌人，获得抵抗10%，伤害+30%，最多三层</t>
  </si>
  <si>
    <t>白沙</t>
  </si>
  <si>
    <t>获得烟气III 1-5 失去3-9体力</t>
  </si>
  <si>
    <t>性工作者</t>
  </si>
  <si>
    <t>取悦 娱乐</t>
  </si>
  <si>
    <t>安心 孕体</t>
  </si>
  <si>
    <t>此面向敌</t>
  </si>
  <si>
    <t>在前场时，伤害+5%，抵抗+2%</t>
  </si>
  <si>
    <t>在前场时，伤害+10%，抵抗+4%</t>
  </si>
  <si>
    <t>在前场时，伤害+15%，抵抗+6%</t>
  </si>
  <si>
    <t>嗅盐</t>
  </si>
  <si>
    <r>
      <rPr>
        <sz val="10"/>
        <rFont val="宋体"/>
        <charset val="134"/>
      </rPr>
      <t>获得呼吸II X 消耗X嗅盐，X由自己决定，购买一份</t>
    </r>
    <r>
      <rPr>
        <sz val="10"/>
        <rFont val="宋体"/>
        <charset val="134"/>
      </rPr>
      <t>X=20</t>
    </r>
  </si>
  <si>
    <t>神甫</t>
  </si>
  <si>
    <t>宗教 仪式</t>
  </si>
  <si>
    <t>寻找自我 傲世</t>
  </si>
  <si>
    <t>电表倒转</t>
  </si>
  <si>
    <t>CP消耗-1</t>
  </si>
  <si>
    <t>CP消耗-2</t>
  </si>
  <si>
    <t>酒</t>
  </si>
  <si>
    <t>护理</t>
  </si>
  <si>
    <t>烹饪 娱乐</t>
  </si>
  <si>
    <t>安抚情绪 安心</t>
  </si>
  <si>
    <t>钢筋铁骨</t>
  </si>
  <si>
    <t>减缓结算25%伤害</t>
  </si>
  <si>
    <t>减缓结算50%伤害</t>
  </si>
  <si>
    <t>减缓结算75%伤害</t>
  </si>
  <si>
    <t>利民</t>
  </si>
  <si>
    <t>获得酒精I 2-7 失去3-9魔力</t>
  </si>
  <si>
    <t>乐师</t>
  </si>
  <si>
    <t>取悦 速记</t>
  </si>
  <si>
    <t>呕哑 余音绕梁</t>
  </si>
  <si>
    <t>规范动作</t>
  </si>
  <si>
    <t>战斗投点最小值+1</t>
  </si>
  <si>
    <t>战斗投点最小值+2</t>
  </si>
  <si>
    <t>红乡</t>
  </si>
  <si>
    <t>获得酒精II 2-7 失去2-9魔力</t>
  </si>
  <si>
    <t>测量员</t>
  </si>
  <si>
    <t>地质 几何</t>
  </si>
  <si>
    <t>藏匿 精准打击</t>
  </si>
  <si>
    <t>口腹之欲</t>
  </si>
  <si>
    <t>药物副作用免疫20%</t>
  </si>
  <si>
    <t>药物副作用免疫40%</t>
  </si>
  <si>
    <t>药物副作用免疫60%</t>
  </si>
  <si>
    <t>蓝星</t>
  </si>
  <si>
    <t>获得酒精II 4-11 失去4-12魔力</t>
  </si>
  <si>
    <t>说书人</t>
  </si>
  <si>
    <t>诈欺 诽谤</t>
  </si>
  <si>
    <t>表演 谈判</t>
  </si>
  <si>
    <t>狂热</t>
  </si>
  <si>
    <t>每过一回合，伤害+4%，CP+1，最多三层</t>
  </si>
  <si>
    <t>每过一回合，伤害+8%，CP+1.5，最多三层</t>
  </si>
  <si>
    <t>每过一回合，伤害+12%，CP+2，最多三层</t>
  </si>
  <si>
    <t>清</t>
  </si>
  <si>
    <t>获得酒精III 2-5 失去3-8魔力</t>
  </si>
  <si>
    <t>赌徒</t>
  </si>
  <si>
    <t>心理 射击</t>
  </si>
  <si>
    <t>命运 狂热</t>
  </si>
  <si>
    <t>良药</t>
  </si>
  <si>
    <t>治疗恢复+15%</t>
  </si>
  <si>
    <t>治疗恢复+30%</t>
  </si>
  <si>
    <t>治疗恢复+45%</t>
  </si>
  <si>
    <t>礼仪师</t>
  </si>
  <si>
    <t>外语 乔装</t>
  </si>
  <si>
    <t>友善 遏制</t>
  </si>
  <si>
    <t>量体裁衣</t>
  </si>
  <si>
    <t>你可以把超斩25%的伤害分配给另一个可命中目标</t>
  </si>
  <si>
    <t>你可以把超斩50%的伤害分配给另一个可命中目标</t>
  </si>
  <si>
    <t>杂货</t>
  </si>
  <si>
    <t>木箭矢</t>
  </si>
  <si>
    <t>打击0 [命中时] 10%施加混乱I 1-3</t>
  </si>
  <si>
    <t>舞者</t>
  </si>
  <si>
    <t>仪式 娱乐</t>
  </si>
  <si>
    <t>表演 名声远扬</t>
  </si>
  <si>
    <t>临时护甲</t>
  </si>
  <si>
    <t>战斗轮首轮耐性+1，递减1个回合</t>
  </si>
  <si>
    <t>战斗轮首轮耐性+2，递减1个回合</t>
  </si>
  <si>
    <t>战斗轮首轮耐性+3，递减2个回合</t>
  </si>
  <si>
    <t>钨箭矢</t>
  </si>
  <si>
    <t>流血0-1 [命中时] 10%施加流血I 1-3</t>
  </si>
  <si>
    <t>维修工</t>
  </si>
  <si>
    <t>维修 伪造</t>
  </si>
  <si>
    <t>保养 匠心</t>
  </si>
  <si>
    <t>铭记</t>
  </si>
  <si>
    <t>抗性学习+10%</t>
  </si>
  <si>
    <t>抗性学习+20%</t>
  </si>
  <si>
    <t>抗性学习+30%</t>
  </si>
  <si>
    <t>铁箭矢</t>
  </si>
  <si>
    <t>突刺0-1 [命中时] 10%施加破裂I 1-3</t>
  </si>
  <si>
    <t>装甲兵</t>
  </si>
  <si>
    <t>格斗 辱骂</t>
  </si>
  <si>
    <t>此面向敌 堡垒</t>
  </si>
  <si>
    <t>命运</t>
  </si>
  <si>
    <t>重掷骰子</t>
  </si>
  <si>
    <t>火药</t>
  </si>
  <si>
    <t>燃烧0 10%燃烧</t>
  </si>
  <si>
    <t>执旗手</t>
  </si>
  <si>
    <t>探索 心理</t>
  </si>
  <si>
    <t>激扬 团队信念</t>
  </si>
  <si>
    <t>呕哑</t>
  </si>
  <si>
    <t>debuff效果+15%</t>
  </si>
  <si>
    <t>debuff效果+30%</t>
  </si>
  <si>
    <t>debuff效果+45%</t>
  </si>
  <si>
    <t>钨弹</t>
  </si>
  <si>
    <t>0 10%流血//0 10%破裂</t>
  </si>
  <si>
    <t>刺客</t>
  </si>
  <si>
    <t>潜行 投掷</t>
  </si>
  <si>
    <t>藏匿 一击致命</t>
  </si>
  <si>
    <t>轻车熟路</t>
  </si>
  <si>
    <t>探索压力-5%，侦察率+5%</t>
  </si>
  <si>
    <t>探索压力-10%，侦察率+10%</t>
  </si>
  <si>
    <t>探索压力-15%，侦察率+15%</t>
  </si>
  <si>
    <t>钨尖弹</t>
  </si>
  <si>
    <t>0 10%流血//0 11%破裂</t>
  </si>
  <si>
    <t>信使</t>
  </si>
  <si>
    <t>乔装 潜行</t>
  </si>
  <si>
    <t>精准打击 速战速决</t>
  </si>
  <si>
    <t>入乡随俗</t>
  </si>
  <si>
    <t>陌生环境压力-5%，舒适度+5%</t>
  </si>
  <si>
    <t>陌生环境压力-10%，舒适度+10%</t>
  </si>
  <si>
    <t>陌生环境压力-15%，舒适度+15%</t>
  </si>
  <si>
    <t>钨包弹</t>
  </si>
  <si>
    <t>0 10%流血//0 12%破裂</t>
  </si>
  <si>
    <t>钟表匠</t>
  </si>
  <si>
    <t>工匠 维修</t>
  </si>
  <si>
    <t>电表倒转 时不我待</t>
  </si>
  <si>
    <t>生生不息</t>
  </si>
  <si>
    <t>濒死时，获得20%HP，每回合削减20%</t>
  </si>
  <si>
    <t>濒死时，获得50%HP，每回合削减25%</t>
  </si>
  <si>
    <t>濒死时，获得100%HP，每回合削减25%</t>
  </si>
  <si>
    <t>空包弹</t>
  </si>
  <si>
    <t>0 10%流血//0 13%破裂</t>
  </si>
  <si>
    <t>商人</t>
  </si>
  <si>
    <t>说服 伪造</t>
  </si>
  <si>
    <t>转手差价 鉴宝</t>
  </si>
  <si>
    <t>时不我待</t>
  </si>
  <si>
    <t>CP出目小于10时，CP+3</t>
  </si>
  <si>
    <t>CP出目小于10时，CP+6</t>
  </si>
  <si>
    <t>CP出目小于10时，CP+10</t>
  </si>
  <si>
    <t>5%渔力</t>
  </si>
  <si>
    <t>管理员</t>
  </si>
  <si>
    <t>速记 说服</t>
  </si>
  <si>
    <t>转手差价 业绩</t>
  </si>
  <si>
    <t>手术</t>
  </si>
  <si>
    <t>濒死治疗率+7%</t>
  </si>
  <si>
    <t>濒死治疗率+15%</t>
  </si>
  <si>
    <t>濒死治疗率+25%</t>
  </si>
  <si>
    <t>裁缝</t>
  </si>
  <si>
    <t>心理 乔装</t>
  </si>
  <si>
    <t>量体裁衣 名声远扬</t>
  </si>
  <si>
    <t>首当其冲</t>
  </si>
  <si>
    <t>战斗轮首轮CP+3，物理抵抗5%</t>
  </si>
  <si>
    <t>战斗轮首轮CP+5，物理抵抗7%</t>
  </si>
  <si>
    <t>战斗轮首轮CP+8，物理抵抗10%</t>
  </si>
  <si>
    <t>原料</t>
  </si>
  <si>
    <t>实木</t>
  </si>
  <si>
    <t>易燃，韧性和硬度都中规中矩，无需模板锻造，使用工匠
[锻造时]提供魔法效力，自行决定词条</t>
  </si>
  <si>
    <t>律师</t>
  </si>
  <si>
    <t>诽谤 法律</t>
  </si>
  <si>
    <t>正当防卫 谈判</t>
  </si>
  <si>
    <t>速战速决</t>
  </si>
  <si>
    <t>每10CP，伤害+8%，最多三层</t>
  </si>
  <si>
    <t>每10CP，伤害+16%，最多三层</t>
  </si>
  <si>
    <t>每10CP，伤害+24%，最多三层</t>
  </si>
  <si>
    <t>布</t>
  </si>
  <si>
    <t>易燃，韧性极高，硬度低，无需模板锻造，使用工匠
[锻造时]提供魔法效力，自行决定词条</t>
  </si>
  <si>
    <t>工程师</t>
  </si>
  <si>
    <t>工程 地质</t>
  </si>
  <si>
    <t>此面向敌 多面手</t>
  </si>
  <si>
    <t>谈判</t>
  </si>
  <si>
    <t>语言效果+10%</t>
  </si>
  <si>
    <t>语言效果+20%</t>
  </si>
  <si>
    <t>语言效果+30%</t>
  </si>
  <si>
    <t>丝</t>
  </si>
  <si>
    <t>工程 电学</t>
  </si>
  <si>
    <t>电表倒转 界限突破</t>
  </si>
  <si>
    <t>调教</t>
  </si>
  <si>
    <t>驯服无知性生命体+15%</t>
  </si>
  <si>
    <t>驯服无知性生命体+30%</t>
  </si>
  <si>
    <t>驯服无知性生命体+45%</t>
  </si>
  <si>
    <t>碳</t>
  </si>
  <si>
    <t>易燃，韧性和硬度都低，无法锻造</t>
  </si>
  <si>
    <t>精神医生</t>
  </si>
  <si>
    <t>诅咒 心理</t>
  </si>
  <si>
    <t>安抚情绪 人间烟火</t>
  </si>
  <si>
    <t>痛楚</t>
  </si>
  <si>
    <t>伤害附加0.3精神伤害</t>
  </si>
  <si>
    <t>伤害附加0.6精神伤害</t>
  </si>
  <si>
    <t>伤害附加1精神伤害</t>
  </si>
  <si>
    <t>铜</t>
  </si>
  <si>
    <t>硬度高，韧性低
[锻造时]提供物理++，韧性-</t>
  </si>
  <si>
    <t>茶艺师</t>
  </si>
  <si>
    <t>药理 种植</t>
  </si>
  <si>
    <t>休养生息 人间烟火</t>
  </si>
  <si>
    <t>团结力量</t>
  </si>
  <si>
    <t>每一个队友，获得抵抗2%，伤害+4%，最多三层</t>
  </si>
  <si>
    <t>每一个队友，获得抵抗4%，最多12%，伤害+8%，最多24%</t>
  </si>
  <si>
    <t>每一个队友，获得抵抗6%，最多18%，伤害+12%，最多36%</t>
  </si>
  <si>
    <t>铅</t>
  </si>
  <si>
    <t>硬度高，韧性低
[锻造时]提供物理++，魔法++，负重增加+</t>
  </si>
  <si>
    <t>歌剧演员</t>
  </si>
  <si>
    <t>恐吓 辱骂</t>
  </si>
  <si>
    <t>呕哑 谈判</t>
  </si>
  <si>
    <t>消耗品效果33%强化</t>
  </si>
  <si>
    <t>消耗品效果67%强化</t>
  </si>
  <si>
    <t>消耗品效果100%强化</t>
  </si>
  <si>
    <t>锡</t>
  </si>
  <si>
    <t>硬度低，韧性高
[锻造时]提供物理-，魔法++，韧性+</t>
  </si>
  <si>
    <t>巡捕</t>
  </si>
  <si>
    <t>驾驶 格斗</t>
  </si>
  <si>
    <t>首当其冲 压制</t>
  </si>
  <si>
    <t>寻找自我</t>
  </si>
  <si>
    <t>美德考验+5%，美德发生时，恢复15%</t>
  </si>
  <si>
    <t>美德考验+10%，美德发生时，恢复30%</t>
  </si>
  <si>
    <t>美德考验+15%，美德发生时，恢复45%</t>
  </si>
  <si>
    <t>铁</t>
  </si>
  <si>
    <t>硬度中，韧性中
[锻造时]提供物理+，韧性+</t>
  </si>
  <si>
    <t>雕塑家</t>
  </si>
  <si>
    <t>绘画 工匠</t>
  </si>
  <si>
    <t>直击弱点 铭记</t>
  </si>
  <si>
    <t>压制</t>
  </si>
  <si>
    <t>命中时，克扣0.3MP</t>
  </si>
  <si>
    <t>命中时，克扣0.6MP</t>
  </si>
  <si>
    <t>命中时，克扣1MP</t>
  </si>
  <si>
    <t>钨</t>
  </si>
  <si>
    <t>硬度中，韧性中
[锻造时]提供物理+，弹射物++，韧性+</t>
  </si>
  <si>
    <t>间谍</t>
  </si>
  <si>
    <t>探索 查询</t>
  </si>
  <si>
    <t>刺探 量体裁衣</t>
  </si>
  <si>
    <t>一击致命</t>
  </si>
  <si>
    <t>战斗轮首次攻击伤害+17%</t>
  </si>
  <si>
    <t>战斗轮首次攻击伤害+33%</t>
  </si>
  <si>
    <t>战斗轮首次攻击伤害+50%</t>
  </si>
  <si>
    <t>银</t>
  </si>
  <si>
    <t>硬度低，韧性高
[锻造时]提供魔法++，神圣+，韧性+，亲魔+</t>
  </si>
  <si>
    <t>司机</t>
  </si>
  <si>
    <t>驾驶 探索</t>
  </si>
  <si>
    <t>轻车熟路 观雾</t>
  </si>
  <si>
    <t>一路顺风</t>
  </si>
  <si>
    <t>战斗投点最大值+1</t>
  </si>
  <si>
    <t>战斗投点最大值+2</t>
  </si>
  <si>
    <t>金</t>
  </si>
  <si>
    <t>硬度低，韧性高
[锻造时]提供物理+，魔法+，神圣+，韧性+，亲魔+</t>
  </si>
  <si>
    <t>贵族</t>
  </si>
  <si>
    <t>驾驶 运动</t>
  </si>
  <si>
    <t>通识 富裕</t>
  </si>
  <si>
    <t>友善</t>
  </si>
  <si>
    <t>考验豁免+3%</t>
  </si>
  <si>
    <t>考验豁免+10%</t>
  </si>
  <si>
    <t>铂</t>
  </si>
  <si>
    <t>硬度低，韧性高
[锻造时]提供物理+，魔法++，神圣+，韧性+，亲魔+</t>
  </si>
  <si>
    <t>媒人</t>
  </si>
  <si>
    <t>宗教 说服</t>
  </si>
  <si>
    <t>谈判 余音绕梁</t>
  </si>
  <si>
    <t>余音绕梁</t>
  </si>
  <si>
    <t>buff效果+15%</t>
  </si>
  <si>
    <t>buff效果+30%</t>
  </si>
  <si>
    <t>buff效果+45%</t>
  </si>
  <si>
    <t>黑钢</t>
  </si>
  <si>
    <t>硬度高，韧性中
[锻造时]提供物理+，魔法+，效果强化+</t>
  </si>
  <si>
    <t>教授</t>
  </si>
  <si>
    <t>博学 电学</t>
  </si>
  <si>
    <t>教导 通识</t>
  </si>
  <si>
    <t>斩杀</t>
  </si>
  <si>
    <t>一场战斗仅一次，对重伤目标造成125%伤害</t>
  </si>
  <si>
    <t>一场战斗仅一次，对重伤目标造成160%伤害</t>
  </si>
  <si>
    <t>一场战斗仅一次，对重伤目标造成200%伤害</t>
  </si>
  <si>
    <t>蓝玉</t>
  </si>
  <si>
    <t>冰</t>
  </si>
  <si>
    <t>领航员</t>
  </si>
  <si>
    <t>探索 追踪</t>
  </si>
  <si>
    <t>安心 一路顺风</t>
  </si>
  <si>
    <t>震慑</t>
  </si>
  <si>
    <t>一回合内被你攻击过目标对你的攻击命中率-10%</t>
  </si>
  <si>
    <t>一回合内被你攻击过目标对你的攻击命中率-15%，暴击率-5%</t>
  </si>
  <si>
    <t>一回合内被你攻击过目标对你的攻击命中率-20%，暴击率-10%</t>
  </si>
  <si>
    <t>黄晶</t>
  </si>
  <si>
    <t>电</t>
  </si>
  <si>
    <t>情报官</t>
  </si>
  <si>
    <t>查询 伪造</t>
  </si>
  <si>
    <t>刺探 拳拳到肉</t>
  </si>
  <si>
    <t>红石</t>
  </si>
  <si>
    <t>火</t>
  </si>
  <si>
    <t>医生</t>
  </si>
  <si>
    <t>治疗 查询</t>
  </si>
  <si>
    <t>手术 良药</t>
  </si>
  <si>
    <t>辅助</t>
  </si>
  <si>
    <t>安抚情绪</t>
  </si>
  <si>
    <t>队友考验豁免+3%</t>
  </si>
  <si>
    <t>队友考验豁免+6%</t>
  </si>
  <si>
    <t>队友考验豁免+10%</t>
  </si>
  <si>
    <t>白石</t>
  </si>
  <si>
    <t>风</t>
  </si>
  <si>
    <t>药师</t>
  </si>
  <si>
    <t>查询 药理</t>
  </si>
  <si>
    <t>手术 口腹之欲</t>
  </si>
  <si>
    <t>堡垒</t>
  </si>
  <si>
    <t>在前场时，阻挡+2，后排抵抗4%</t>
  </si>
  <si>
    <t>在前场时，阻挡+3，后排抵抗10%</t>
  </si>
  <si>
    <t>在前场时，阻挡+4，后排抵抗17%</t>
  </si>
  <si>
    <t>黄石</t>
  </si>
  <si>
    <t>雷</t>
  </si>
  <si>
    <t>翻译家</t>
  </si>
  <si>
    <t>外语 历史</t>
  </si>
  <si>
    <t>轻车熟路 入乡随俗</t>
  </si>
  <si>
    <t>激扬</t>
  </si>
  <si>
    <t>战斗轮开始时，一回合内全队+5%命中率，+3CP</t>
  </si>
  <si>
    <t>战斗轮开始时，一回合内全队+10%命中率，+2%暴击率，+6CP</t>
  </si>
  <si>
    <t>战斗轮开始时，一回合内全队+15%命中率，+5%暴击率，+10CP</t>
  </si>
  <si>
    <t>石青</t>
  </si>
  <si>
    <t>霜</t>
  </si>
  <si>
    <t>法官</t>
  </si>
  <si>
    <t>法律 说服</t>
  </si>
  <si>
    <t>裁断 斩杀</t>
  </si>
  <si>
    <t>教导</t>
  </si>
  <si>
    <t>全队成长率+5%</t>
  </si>
  <si>
    <t>全队成长率+10%</t>
  </si>
  <si>
    <t>全队成长率+15%</t>
  </si>
  <si>
    <t>石绿</t>
  </si>
  <si>
    <t>酸</t>
  </si>
  <si>
    <t>突破手</t>
  </si>
  <si>
    <t>扫射 运动</t>
  </si>
  <si>
    <t>冲锋陷阵 此面向敌</t>
  </si>
  <si>
    <t>团队信念</t>
  </si>
  <si>
    <t>为每一个队友提供抵抗3%，伤害+5%</t>
  </si>
  <si>
    <t>为每一个队友提供抵抗7%，伤害+10%</t>
  </si>
  <si>
    <t>为每一个队友提供抵抗10%，伤害+15%</t>
  </si>
  <si>
    <t>血玉</t>
  </si>
  <si>
    <t>生命力</t>
  </si>
  <si>
    <t>祭司</t>
  </si>
  <si>
    <t>仪式 宗教</t>
  </si>
  <si>
    <t>美味佳肴 生生不息</t>
  </si>
  <si>
    <t>琥珀</t>
  </si>
  <si>
    <t>防御力</t>
  </si>
  <si>
    <t>作家</t>
  </si>
  <si>
    <t>钢铁意志 宽慰</t>
  </si>
  <si>
    <t>功能性</t>
  </si>
  <si>
    <t>把戏</t>
  </si>
  <si>
    <t>盗窃+5%</t>
  </si>
  <si>
    <t>盗窃+10%</t>
  </si>
  <si>
    <t>盗窃+15%</t>
  </si>
  <si>
    <t>海蓝珠</t>
  </si>
  <si>
    <t>恢复力</t>
  </si>
  <si>
    <t>慈善家</t>
  </si>
  <si>
    <t>取悦 摄影</t>
  </si>
  <si>
    <t>名声远扬 富裕</t>
  </si>
  <si>
    <t>保养</t>
  </si>
  <si>
    <t>装备耐久+5%</t>
  </si>
  <si>
    <t>装备耐久+10%</t>
  </si>
  <si>
    <t>装备耐久+15%</t>
  </si>
  <si>
    <t>翡翠</t>
  </si>
  <si>
    <t>毒</t>
  </si>
  <si>
    <t>领主</t>
  </si>
  <si>
    <t>几何 宗教</t>
  </si>
  <si>
    <t>统治 谆谆教诲</t>
  </si>
  <si>
    <t>刺探</t>
  </si>
  <si>
    <t>你得知大致数值</t>
  </si>
  <si>
    <t>你得知大致信息</t>
  </si>
  <si>
    <t>你得知确切信息</t>
  </si>
  <si>
    <t>玛瑙</t>
  </si>
  <si>
    <t>破坏力</t>
  </si>
  <si>
    <t>画家</t>
  </si>
  <si>
    <t>绘画 伪造</t>
  </si>
  <si>
    <t>钢铁意志 回忆</t>
  </si>
  <si>
    <t>多面手</t>
  </si>
  <si>
    <t>快捷栏+1</t>
  </si>
  <si>
    <t>快捷栏+2</t>
  </si>
  <si>
    <t>快捷栏+3</t>
  </si>
  <si>
    <t>紫晶</t>
  </si>
  <si>
    <t>存储效果</t>
  </si>
  <si>
    <t>摄影师</t>
  </si>
  <si>
    <t>摄影 取悦</t>
  </si>
  <si>
    <t>宽慰 回忆</t>
  </si>
  <si>
    <t>富裕</t>
  </si>
  <si>
    <t>稳定收入40S</t>
  </si>
  <si>
    <t>稳定收入80S</t>
  </si>
  <si>
    <t>稳定收入1G20S</t>
  </si>
  <si>
    <t>白晶</t>
  </si>
  <si>
    <t>光</t>
  </si>
  <si>
    <t>酿酒师</t>
  </si>
  <si>
    <t>佳酿 口腹之欲</t>
  </si>
  <si>
    <t>观雾</t>
  </si>
  <si>
    <t>雾中视野1级</t>
  </si>
  <si>
    <t>模板</t>
  </si>
  <si>
    <t>企业家</t>
  </si>
  <si>
    <t>团队信念 业绩</t>
  </si>
  <si>
    <t>佳酿</t>
  </si>
  <si>
    <t>炼制药水效果20%强化</t>
  </si>
  <si>
    <t>炼制药水效果40%强化</t>
  </si>
  <si>
    <t>炼制药水效果60%强化</t>
  </si>
  <si>
    <t>谋士</t>
  </si>
  <si>
    <t>取悦 诅咒</t>
  </si>
  <si>
    <t>谈判 钢铁意志</t>
  </si>
  <si>
    <t>鉴宝</t>
  </si>
  <si>
    <t>你可以自行鉴定物品品质</t>
  </si>
  <si>
    <t>武器</t>
  </si>
  <si>
    <t>钝击1-3 [命中时] 5%施加混乱I 1
招架1-3 [招架时] 仅抵消50%伤害</t>
  </si>
  <si>
    <t>占卜师</t>
  </si>
  <si>
    <t>占卜 宗教</t>
  </si>
  <si>
    <t>未知之心 命运</t>
  </si>
  <si>
    <t>匠心</t>
  </si>
  <si>
    <t>铸造时，物品损坏概率-10%</t>
  </si>
  <si>
    <t>铸造时，物品损坏概率-20%</t>
  </si>
  <si>
    <t>铸造时，物品损坏概率-30%</t>
  </si>
  <si>
    <t>拳套</t>
  </si>
  <si>
    <t>打击1-3 [命中时] 10%施加混乱I 1-3
招架1-3</t>
  </si>
  <si>
    <t>历史学家</t>
  </si>
  <si>
    <t>历史 宗教</t>
  </si>
  <si>
    <t>复习 入乡随俗</t>
  </si>
  <si>
    <t>精炼</t>
  </si>
  <si>
    <t>收集品有15%获得双倍</t>
  </si>
  <si>
    <t>收集品有30%获得双倍</t>
  </si>
  <si>
    <t>收集品有45%获得双倍</t>
  </si>
  <si>
    <t>双截棍</t>
  </si>
  <si>
    <t>[使用时] 50%回转25%
打击1-3 [命中时] 20%施加混乱I 1-3
招架1-3</t>
  </si>
  <si>
    <t>天文学家</t>
  </si>
  <si>
    <t>星学 气象</t>
  </si>
  <si>
    <t>未知之心 观雾</t>
  </si>
  <si>
    <t>美味佳肴</t>
  </si>
  <si>
    <t>你更能引起神秘生物注意</t>
  </si>
  <si>
    <t>指虎</t>
  </si>
  <si>
    <t>打击1-4 [命中时] 20%施加混乱I 1-3 10%施加流血I 1-3
招架1-4</t>
  </si>
  <si>
    <t>学者</t>
  </si>
  <si>
    <t>速记 查询</t>
  </si>
  <si>
    <t>复习 铭记</t>
  </si>
  <si>
    <t>名声远扬</t>
  </si>
  <si>
    <t>声名+1</t>
  </si>
  <si>
    <t>木槌</t>
  </si>
  <si>
    <t>打击1-3 [命中时] 10%施加混乱I 1-3</t>
  </si>
  <si>
    <t>机械学家</t>
  </si>
  <si>
    <t>锻造 工匠</t>
  </si>
  <si>
    <t>临时护甲 外接动力</t>
  </si>
  <si>
    <t>声呐</t>
  </si>
  <si>
    <t>钓鱼成功率+15%</t>
  </si>
  <si>
    <t>钓鱼成功率+30%</t>
  </si>
  <si>
    <t>钓鱼成功率+45%</t>
  </si>
  <si>
    <t>家具锤</t>
  </si>
  <si>
    <t>[目标装备护甲时] 目标装备提供的物理护甲-0.3
打击2-4 [命中时] 20%施加混乱I 1-3</t>
  </si>
  <si>
    <t>电学家</t>
  </si>
  <si>
    <t>电学 博学</t>
  </si>
  <si>
    <t>电表倒转 外接动力</t>
  </si>
  <si>
    <t>水下呼吸</t>
  </si>
  <si>
    <t>肺活量+25%</t>
  </si>
  <si>
    <t>肺活量+50%</t>
  </si>
  <si>
    <t>肺活量+75%</t>
  </si>
  <si>
    <t>铁锤</t>
  </si>
  <si>
    <t>[目标装备护甲时] 目标装备提供的物理护甲-0.5
打击3-8 [命中时] 20%施加混乱I 1-3</t>
  </si>
  <si>
    <t>核学家</t>
  </si>
  <si>
    <t>器械 宗教</t>
  </si>
  <si>
    <t>临时护甲 义体改造</t>
  </si>
  <si>
    <t>统治</t>
  </si>
  <si>
    <t>在你操纵下的角色获得5%全属性强化</t>
  </si>
  <si>
    <t>在你操纵下的角色获得10%全属性强化</t>
  </si>
  <si>
    <t>在你操纵下的角色获得15%全属性强化</t>
  </si>
  <si>
    <t>棍</t>
  </si>
  <si>
    <t>打击1-3 [命中时] 10%施加混乱I 1-3
突刺1-3 [命中时] 10%施加混乱I 1-3
招架2-4 [招架时] 25%回转25%</t>
  </si>
  <si>
    <t>神秘学家</t>
  </si>
  <si>
    <t>宗教 历史</t>
  </si>
  <si>
    <t>未知之心 通识</t>
  </si>
  <si>
    <t>未知之心</t>
  </si>
  <si>
    <t>神秘等级+1</t>
  </si>
  <si>
    <t>矛</t>
  </si>
  <si>
    <t>[目标装备护甲时] 威力-1
突刺1-6 [命中时] 20%施加破裂I 1-3
投掷：突刺1-6 [使用时] 暴击率+5% 威力+1</t>
  </si>
  <si>
    <t>侦探</t>
  </si>
  <si>
    <t>探索 潜行</t>
  </si>
  <si>
    <t>寻宝 藏匿</t>
  </si>
  <si>
    <t>寻宝</t>
  </si>
  <si>
    <t>探险宝物+5%概率获得更高品质</t>
  </si>
  <si>
    <t>探险宝物+10%概率获得更高品质</t>
  </si>
  <si>
    <t>探险宝物+15%概率获得更高品质</t>
  </si>
  <si>
    <t>长枪</t>
  </si>
  <si>
    <t>[使用时] 暴击率+5%
突刺1-6 [命中时] 20%施加破裂I 1-3</t>
  </si>
  <si>
    <t>游民</t>
  </si>
  <si>
    <t>通用天赋点</t>
  </si>
  <si>
    <t>随机特质 经验+1</t>
  </si>
  <si>
    <t>业绩</t>
  </si>
  <si>
    <t>冒险支出-5%</t>
  </si>
  <si>
    <t>冒险支出-10%</t>
  </si>
  <si>
    <t>冒险支出-15%</t>
  </si>
  <si>
    <t>锲</t>
  </si>
  <si>
    <t>突刺2-6 [命中时] 20%施加破裂II 1-3</t>
  </si>
  <si>
    <t>夜行</t>
  </si>
  <si>
    <t>光芒等级+1</t>
  </si>
  <si>
    <t>小刀</t>
  </si>
  <si>
    <t>流血0-4 [命中时] 20%施加流血I 1-3
突刺1-3 [命中时] 10%施加破裂I 1-3</t>
  </si>
  <si>
    <t>义体改造</t>
  </si>
  <si>
    <t>你改造时不会触发排异</t>
  </si>
  <si>
    <t>爪刀</t>
  </si>
  <si>
    <t>流血1-3 [命中时] 40%施加流血I 1-3
招架1-3</t>
  </si>
  <si>
    <t>孕体</t>
  </si>
  <si>
    <t>轮回效果+1</t>
  </si>
  <si>
    <t>手术刀</t>
  </si>
  <si>
    <t>[目标具有流血时] 造成伤害+10%*Y
流血1-3 [命中时] 40%施加流血II 1-3
突刺1-3 [命中时] 40%施加破裂II 1-3</t>
  </si>
  <si>
    <t>转手差价</t>
  </si>
  <si>
    <t>探险金钱所得+5%</t>
  </si>
  <si>
    <t>探险金钱所得+10%</t>
  </si>
  <si>
    <t>探险金钱所得+15%</t>
  </si>
  <si>
    <t>刺刀</t>
  </si>
  <si>
    <t>[刺杀时] 伤害+50%
流血1-4 [命中时] 20%施加流血I 1-3
突刺1-4 [命中时] 10%施加破裂I 1-3</t>
  </si>
  <si>
    <t>谆谆教诲</t>
  </si>
  <si>
    <t>你的隶属角色获得5%学习强化</t>
  </si>
  <si>
    <t>你的隶属角色获得10%学习强化</t>
  </si>
  <si>
    <t>你的隶属角色获得15%学习强化</t>
  </si>
  <si>
    <t>袖剑</t>
  </si>
  <si>
    <t>[刺杀时] 伤害+50%
突刺1-4 [命中时] 20%施加破裂I 1-3
蓄力：突刺2-6 [命中时] 20%施加破裂II 1-3 [暴击时] 目标物理护甲-1</t>
  </si>
  <si>
    <t>木盾</t>
  </si>
  <si>
    <t>打击1-4 [命中时] 20%施加混乱I 1-3
招架2-6 [招架时] 25%回转50%</t>
  </si>
  <si>
    <t>特化</t>
  </si>
  <si>
    <t>宰杀处置</t>
  </si>
  <si>
    <t>进行流血攻击前，施加流血+5%</t>
  </si>
  <si>
    <t>进行流血攻击前，施加流血+10%</t>
  </si>
  <si>
    <t>进行流血攻击前，施加流血+15%</t>
  </si>
  <si>
    <t>铁盾</t>
  </si>
  <si>
    <t>打击2-4 [命中时] 20%施加混乱I 1-3
招架3-8 [招架时] 25%回转50%</t>
  </si>
  <si>
    <t>施加流血前，施加流血区间+[0,1]</t>
  </si>
  <si>
    <t>施加流血前，施加流血区间+[0,2]</t>
  </si>
  <si>
    <t>施加流血前，施加流血区间+[1,3]</t>
  </si>
  <si>
    <t>肩盾</t>
  </si>
  <si>
    <t>招架2-6 [招架时] 25%回转50%</t>
  </si>
  <si>
    <t>施加流血前，施加流血等级+1</t>
  </si>
  <si>
    <t>施加流血前，施加流血等级+2</t>
  </si>
  <si>
    <t>长盾</t>
  </si>
  <si>
    <t>打击2-6 [命中时] 20%施加混乱II 1-3
招架4-12 [招架时] 25%回转50%</t>
  </si>
  <si>
    <t>捣碎</t>
  </si>
  <si>
    <t>进行突刺攻击前，施加破裂+5%</t>
  </si>
  <si>
    <t>进行破裂攻击前，施加破裂+10%</t>
  </si>
  <si>
    <t>进行破裂攻击前，施加破裂+15%</t>
  </si>
  <si>
    <t>剑盾</t>
  </si>
  <si>
    <t>突刺2-6 [命中时] 20%施加混乱I 1-3 20%施加破裂I 1-3
招架4-12 [招架时] 25%回转50% 20%造成0突刺伤害并施加破裂I 1-3</t>
  </si>
  <si>
    <t>损伤</t>
  </si>
  <si>
    <t>施加破裂前，施加破裂区间+[0,1]</t>
  </si>
  <si>
    <t>施加破裂前，施加破裂区间+[0,2]</t>
  </si>
  <si>
    <t>施加破裂前，施加破裂区间+[1,3]</t>
  </si>
  <si>
    <t>木剑</t>
  </si>
  <si>
    <t>流血1-4 [命中时] 10%施加流血I 1-3
打击2-4 [命中时] 10%施加混乱I 1-3
突刺1-4 [命中时] 10%施加破裂I 1-3
招架2-5</t>
  </si>
  <si>
    <t>肌肉伤</t>
  </si>
  <si>
    <t>施加破裂前，施加破裂等级+1</t>
  </si>
  <si>
    <t>施加破裂前，施加破裂等级+2</t>
  </si>
  <si>
    <t>铁剑</t>
  </si>
  <si>
    <t>流血2-6 [命中时] 15%施加流血I 1-3
打击3-6 [命中时] 15%施加混乱I 1-3
突刺2-6 [命中时] 15%施加破裂I 1-3
招架3-7</t>
  </si>
  <si>
    <t>猛击</t>
  </si>
  <si>
    <t>进行混乱攻击前，施加混乱+5%</t>
  </si>
  <si>
    <t>进行混乱攻击前，施加混乱+10%</t>
  </si>
  <si>
    <t>进行混乱攻击前，施加混乱+15%</t>
  </si>
  <si>
    <t>木刺</t>
  </si>
  <si>
    <t>[目标装备护甲时] 威力-1
[招架行动时] 威力-1
突刺1-4 [命中时] 20%施加破裂I 1-3</t>
  </si>
  <si>
    <t>击溃</t>
  </si>
  <si>
    <t>施加混乱前，施加混乱区间+[0,1]</t>
  </si>
  <si>
    <t>施加混乱前，施加混乱区间+[0,2]</t>
  </si>
  <si>
    <t>施加混乱前，施加混乱区间+[1,3]</t>
  </si>
  <si>
    <t>[目标装备护甲时] 威力-1
[招架行动时] 威力-1
突刺2-6 [命中时] 30%施加破裂I 1-3</t>
  </si>
  <si>
    <t>施加混乱前，施加混乱等级+1</t>
  </si>
  <si>
    <t>施加混乱前，施加混乱等级+2</t>
  </si>
  <si>
    <t>迅捷剑</t>
  </si>
  <si>
    <t>[轮次开始时] CP+3
[目标装备护甲时] 威力-1
[招架行动时] 威力-1
突刺2-6 [命中时] 40%施加破裂I 1-3</t>
  </si>
  <si>
    <t>创伤绷</t>
  </si>
  <si>
    <t>愈合效果+1</t>
  </si>
  <si>
    <t>愈合效果+2</t>
  </si>
  <si>
    <t>愈合效果+3</t>
  </si>
  <si>
    <t>风剑</t>
  </si>
  <si>
    <t>[轮次开始时] CP+5
[目标装备护甲时] 威力-1
[招架行动时] 威力-1
[对抗时] 威力+1
突刺2-8 [命中时] 40%施加破裂II 1-3</t>
  </si>
  <si>
    <t>木架</t>
  </si>
  <si>
    <t>打击1-4 [命中时] 10%施加混乱I 1-3
招架2-5</t>
  </si>
  <si>
    <t>十字剑</t>
  </si>
  <si>
    <t>流血2-6 [命中时] 20%施加流血I 1-3
打击2-6 [命中时] 20%施加混乱I 1-3
招架3-7</t>
  </si>
  <si>
    <t>圣剑</t>
  </si>
  <si>
    <t>流血2-8 [命中时] 20%施加流血II 1-3
打击3-6 [命中时] 20%施加混乱II 1-3
招架5-9</t>
  </si>
  <si>
    <t>皮鞭</t>
  </si>
  <si>
    <t>群体3打击1-4 [命中时] 20%施加混乱I 1-3
招架0-5</t>
  </si>
  <si>
    <t>强化鞭</t>
  </si>
  <si>
    <t>群体3打击2-6 [命中时] 20%施加混乱I 1-3
招架0-8</t>
  </si>
  <si>
    <t>飞镖</t>
  </si>
  <si>
    <t>[使用时] 选择重复1-3次
流血1-4 [命中时] 20%施加流血I 1-3</t>
  </si>
  <si>
    <t>飞针</t>
  </si>
  <si>
    <t>[使用时] 选择重复1-3次
突刺1-4 [命中时] 20%施加破裂I 1-3</t>
  </si>
  <si>
    <t>投石</t>
  </si>
  <si>
    <t>[使用时] 选择重复1-3次
打击1-4 [命中时] 20%施加混乱I 1-3</t>
  </si>
  <si>
    <t>木弓</t>
  </si>
  <si>
    <t>箭矢2-6
蓄力：箭矢4-6 命中率+5% 箭矢命中效果触发概率+5%</t>
  </si>
  <si>
    <t>长弓</t>
  </si>
  <si>
    <t>[使用时] 箭矢命中效果触发概率+10%
箭矢2-8
蓄力：箭矢5-8 命中率+10% 箭矢命中效果触发概率+10%</t>
  </si>
  <si>
    <t>复合弓</t>
  </si>
  <si>
    <t>[使用时] 箭矢命中效果触发概率+20% 15%施加深度伤口I
箭矢2-8
蓄力：箭矢5-8 命中率+10% 箭矢命中效果触发概率+10%</t>
  </si>
  <si>
    <t>风弓</t>
  </si>
  <si>
    <t>[使用时] 命中率+10% 箭矢命中效果触发概率+30% 20%施加深度伤口I
箭矢4-12
蓄力：箭矢8-12 命中率+10% 箭矢命中效果触发概率+20% 深度伤口施加等级+1</t>
  </si>
  <si>
    <t>弩</t>
  </si>
  <si>
    <t>[使用时] 箭矢命中效果触发概率+10%
突刺1-8</t>
  </si>
  <si>
    <t>燧发枪</t>
  </si>
  <si>
    <t>[使用时] 命中率-5%
火药2-4</t>
  </si>
  <si>
    <t>长管燧发枪</t>
  </si>
  <si>
    <t>[使用时] 弹药效果+10%
火药2-5</t>
  </si>
  <si>
    <t>长管枪</t>
  </si>
  <si>
    <t>弹药2-6 [命中时] 10%施加深度伤口I</t>
  </si>
  <si>
    <t>盒子枪</t>
  </si>
  <si>
    <t>[使用时] 选择重复1-3次
弹药2-6 [命中时] 10%施加深度伤口I</t>
  </si>
  <si>
    <t>PP1</t>
  </si>
  <si>
    <t>[使用时] 选择重复1-3次
弹药2-6 [命中时] 弹药命中效果触发概率+10% 弹药施加效果等级II 10%施加深度伤口I</t>
  </si>
  <si>
    <t>蓝玉法杖</t>
  </si>
  <si>
    <t>冰冻1-8 [命中时] 20%施加冰冻I 1</t>
  </si>
  <si>
    <t>黄晶法杖</t>
  </si>
  <si>
    <t>麻痹1-8 [命中时] 20%施加过载I 1</t>
  </si>
  <si>
    <t>红石法杖</t>
  </si>
  <si>
    <t>燃烧1-8 [命中时] 20%施加燃烧I 1</t>
  </si>
  <si>
    <t>白石法杖</t>
  </si>
  <si>
    <t>冲击1-8 [命中时] 10%击飞5</t>
  </si>
  <si>
    <t>连弩</t>
  </si>
  <si>
    <t>[使用时] 选择重复1-3次 箭矢命中效果触发概率+10%
突刺1-8</t>
  </si>
  <si>
    <t>栓步枪</t>
  </si>
  <si>
    <t>[使用时] 选择重复1-3次
弹药3-7</t>
  </si>
  <si>
    <t>栓猎枪</t>
  </si>
  <si>
    <t>弹药4-11</t>
  </si>
  <si>
    <t>黄石法杖</t>
  </si>
  <si>
    <t>麻痹3-10 [命中时] 20%施加麻痹I 1</t>
  </si>
  <si>
    <t>石青法杖</t>
  </si>
  <si>
    <t>冰冻3-10 [命中时] 20%施加结霜I 1</t>
  </si>
  <si>
    <t>石绿法杖</t>
  </si>
  <si>
    <t>腐蚀3-10 [命中时] 20%施加过酸I 1</t>
  </si>
  <si>
    <t>皮革大衣</t>
  </si>
  <si>
    <t>物理护甲0.3 魔法护甲0.3</t>
  </si>
  <si>
    <t>物理护甲0.5 魔法护甲0.7</t>
  </si>
  <si>
    <t>铁甲</t>
  </si>
  <si>
    <t>物理护甲1 魔法护甲0.4</t>
  </si>
  <si>
    <t>工人服装</t>
  </si>
  <si>
    <t>负重增加0.6</t>
  </si>
  <si>
    <t>技师服装</t>
  </si>
  <si>
    <t>负重增加1.2</t>
  </si>
  <si>
    <t>旅人风衣</t>
  </si>
  <si>
    <t>CP+2 +10%闪避率</t>
  </si>
  <si>
    <t>法袍</t>
  </si>
  <si>
    <t>MP上限+20% 法术伤害+10%</t>
  </si>
  <si>
    <t>潜匿大衣</t>
  </si>
  <si>
    <t>+10%闪避率 +50%刺杀伤害</t>
  </si>
  <si>
    <t>物理护甲1</t>
  </si>
  <si>
    <t>铁头盔</t>
  </si>
  <si>
    <t>物理护甲1 +17%物理伤害</t>
  </si>
  <si>
    <t>护目镜</t>
  </si>
  <si>
    <t>+7%射击命中率</t>
  </si>
  <si>
    <t>兜帽</t>
  </si>
  <si>
    <t>法术护甲1 +17%法术伤害</t>
  </si>
  <si>
    <t>布包</t>
  </si>
  <si>
    <t>负重增加0.4</t>
  </si>
  <si>
    <t>肩包</t>
  </si>
  <si>
    <t>负重增加0.7 快捷栏1</t>
  </si>
  <si>
    <t>书包</t>
  </si>
  <si>
    <t>负重增加1</t>
  </si>
  <si>
    <t>负重增加2</t>
  </si>
  <si>
    <t>工包</t>
  </si>
  <si>
    <t>负重增加4</t>
  </si>
  <si>
    <t>医药包</t>
  </si>
  <si>
    <t>负重增加5 快捷栏3</t>
  </si>
  <si>
    <t>配饰</t>
  </si>
  <si>
    <t>红心吊坠</t>
  </si>
  <si>
    <t>HP+20%</t>
  </si>
  <si>
    <t>蓝星吊坠</t>
  </si>
  <si>
    <t>MP+20%</t>
  </si>
  <si>
    <t>破旧电池组</t>
  </si>
  <si>
    <t>战斗开始时，获得3充能
受到伤害时，额外受到1-6麻痹伤害，获得1充能</t>
  </si>
  <si>
    <t>充电器</t>
  </si>
  <si>
    <t>每轮开始时，获得1充能</t>
  </si>
  <si>
    <t>5号电池</t>
  </si>
  <si>
    <t>战斗开始时，获得4充能</t>
  </si>
  <si>
    <t>手摇发电机</t>
  </si>
  <si>
    <t>发电&gt;获得1充能 奖励行动</t>
  </si>
  <si>
    <t>香囊</t>
  </si>
  <si>
    <t>延续呼吸I
获得呼吸时，使呼吸等级+1，上限为3</t>
  </si>
  <si>
    <t>烟枪</t>
  </si>
  <si>
    <t>使用烟类物品损失的体力减少75%
延续呼吸I
获得呼吸时，使呼吸等级+1，上限为5</t>
  </si>
  <si>
    <t>消耗品</t>
  </si>
  <si>
    <t>火把</t>
  </si>
  <si>
    <t>光芒+1</t>
  </si>
  <si>
    <t>火信子</t>
  </si>
  <si>
    <t>燃烧1-10 对抗威力+2</t>
  </si>
  <si>
    <t>致盲1</t>
  </si>
  <si>
    <t>燃烧瓶</t>
  </si>
  <si>
    <t>燃烧0 40%燃烧</t>
  </si>
  <si>
    <t>工具</t>
  </si>
  <si>
    <t>木镐</t>
  </si>
  <si>
    <t>5%镐力</t>
  </si>
  <si>
    <t>铁镐</t>
  </si>
  <si>
    <t>10%镐力</t>
  </si>
  <si>
    <t>木钓竿</t>
  </si>
  <si>
    <t>强化钓竿</t>
  </si>
  <si>
    <t>10%渔力</t>
  </si>
  <si>
    <r>
      <rPr>
        <sz val="14"/>
        <color rgb="FF3399FF"/>
        <rFont val="宋体"/>
        <charset val="134"/>
      </rPr>
      <t xml:space="preserve">Aurora Door
</t>
    </r>
    <r>
      <rPr>
        <sz val="14"/>
        <color rgb="FF3399FF"/>
        <rFont val="Times New Roman"/>
        <charset val="134"/>
      </rPr>
      <t>极光门</t>
    </r>
  </si>
  <si>
    <r>
      <rPr>
        <sz val="14"/>
        <color rgb="FF3399FF"/>
        <rFont val="宋体"/>
        <charset val="134"/>
      </rPr>
      <t xml:space="preserve">The Fif City
</t>
    </r>
    <r>
      <rPr>
        <sz val="14"/>
        <color rgb="FF3399FF"/>
        <rFont val="Times New Roman"/>
        <charset val="134"/>
      </rPr>
      <t>第五城</t>
    </r>
  </si>
  <si>
    <r>
      <rPr>
        <sz val="14"/>
        <color rgb="FF3399FF"/>
        <rFont val="宋体"/>
        <charset val="134"/>
      </rPr>
      <t xml:space="preserve">Hambina
</t>
    </r>
    <r>
      <rPr>
        <sz val="14"/>
        <color rgb="FF3399FF"/>
        <rFont val="Times New Roman"/>
        <charset val="134"/>
      </rPr>
      <t>汉比纳</t>
    </r>
  </si>
  <si>
    <r>
      <rPr>
        <sz val="14"/>
        <color rgb="FF3399FF"/>
        <rFont val="宋体"/>
        <charset val="134"/>
      </rPr>
      <t xml:space="preserve">Jallival
</t>
    </r>
    <r>
      <rPr>
        <sz val="14"/>
        <color rgb="FF3399FF"/>
        <rFont val="Times New Roman"/>
        <charset val="134"/>
      </rPr>
      <t>加里瓦</t>
    </r>
  </si>
  <si>
    <r>
      <rPr>
        <sz val="14"/>
        <color rgb="FF3399FF"/>
        <rFont val="宋体"/>
        <charset val="134"/>
      </rPr>
      <t xml:space="preserve">Rarin
</t>
    </r>
    <r>
      <rPr>
        <sz val="14"/>
        <color rgb="FF3399FF"/>
        <rFont val="Times New Roman"/>
        <charset val="134"/>
      </rPr>
      <t>拉林</t>
    </r>
  </si>
  <si>
    <r>
      <rPr>
        <sz val="14"/>
        <rFont val="宋体"/>
        <charset val="134"/>
      </rPr>
      <t xml:space="preserve">Orraw
</t>
    </r>
    <r>
      <rPr>
        <sz val="14"/>
        <rFont val="Times New Roman"/>
        <charset val="134"/>
      </rPr>
      <t>欧罗</t>
    </r>
  </si>
  <si>
    <r>
      <rPr>
        <sz val="14"/>
        <rFont val="宋体"/>
        <charset val="134"/>
      </rPr>
      <t xml:space="preserve">Chimondo
</t>
    </r>
    <r>
      <rPr>
        <sz val="14"/>
        <rFont val="Times New Roman"/>
        <charset val="134"/>
      </rPr>
      <t>奇蒙多</t>
    </r>
  </si>
  <si>
    <r>
      <rPr>
        <sz val="14"/>
        <rFont val="宋体"/>
        <charset val="134"/>
      </rPr>
      <t xml:space="preserve">Uto
</t>
    </r>
    <r>
      <rPr>
        <sz val="14"/>
        <rFont val="Times New Roman"/>
        <charset val="134"/>
      </rPr>
      <t>乌托</t>
    </r>
  </si>
  <si>
    <r>
      <rPr>
        <sz val="14"/>
        <color rgb="FF3399FF"/>
        <rFont val="宋体"/>
        <charset val="134"/>
      </rPr>
      <t xml:space="preserve">Xiplut
</t>
    </r>
    <r>
      <rPr>
        <sz val="14"/>
        <color rgb="FF3399FF"/>
        <rFont val="Times New Roman"/>
        <charset val="134"/>
      </rPr>
      <t>西普露特</t>
    </r>
  </si>
  <si>
    <r>
      <rPr>
        <sz val="14"/>
        <color rgb="FF3399FF"/>
        <rFont val="宋体"/>
        <charset val="134"/>
      </rPr>
      <t xml:space="preserve">Sophin
</t>
    </r>
    <r>
      <rPr>
        <sz val="14"/>
        <color rgb="FF3399FF"/>
        <rFont val="Times New Roman"/>
        <charset val="134"/>
      </rPr>
      <t>索菲</t>
    </r>
  </si>
  <si>
    <r>
      <rPr>
        <sz val="14"/>
        <rFont val="宋体"/>
        <charset val="134"/>
      </rPr>
      <t xml:space="preserve">London
</t>
    </r>
    <r>
      <rPr>
        <sz val="14"/>
        <rFont val="Times New Roman"/>
        <charset val="134"/>
      </rPr>
      <t>伦敦</t>
    </r>
  </si>
  <si>
    <r>
      <rPr>
        <sz val="14"/>
        <rFont val="宋体"/>
        <charset val="134"/>
      </rPr>
      <t xml:space="preserve">Mahsio
</t>
    </r>
    <r>
      <rPr>
        <sz val="14"/>
        <rFont val="Times New Roman"/>
        <charset val="134"/>
      </rPr>
      <t>麦西欧</t>
    </r>
  </si>
  <si>
    <r>
      <rPr>
        <sz val="14"/>
        <color rgb="FF3399FF"/>
        <rFont val="宋体"/>
        <charset val="134"/>
      </rPr>
      <t xml:space="preserve">Zellia Lily
</t>
    </r>
    <r>
      <rPr>
        <sz val="14"/>
        <color rgb="FF3399FF"/>
        <rFont val="Times New Roman"/>
        <charset val="134"/>
      </rPr>
      <t>望冰湾</t>
    </r>
  </si>
  <si>
    <r>
      <rPr>
        <sz val="14"/>
        <rFont val="宋体"/>
        <charset val="134"/>
      </rPr>
      <t xml:space="preserve">The Natural Sigh
</t>
    </r>
    <r>
      <rPr>
        <sz val="14"/>
        <rFont val="Times New Roman"/>
        <charset val="134"/>
      </rPr>
      <t>绝望之地</t>
    </r>
  </si>
  <si>
    <r>
      <rPr>
        <sz val="14"/>
        <color rgb="FF3399FF"/>
        <rFont val="宋体"/>
        <charset val="134"/>
      </rPr>
      <t xml:space="preserve">Eurio
</t>
    </r>
    <r>
      <rPr>
        <sz val="14"/>
        <color rgb="FF3399FF"/>
        <rFont val="Times New Roman"/>
        <charset val="134"/>
      </rPr>
      <t>钨里约</t>
    </r>
  </si>
  <si>
    <r>
      <rPr>
        <sz val="14"/>
        <color rgb="FF3399FF"/>
        <rFont val="宋体"/>
        <charset val="134"/>
      </rPr>
      <t xml:space="preserve">Pascicar
</t>
    </r>
    <r>
      <rPr>
        <sz val="14"/>
        <color rgb="FF3399FF"/>
        <rFont val="Times New Roman"/>
        <charset val="134"/>
      </rPr>
      <t>帕希卡</t>
    </r>
  </si>
  <si>
    <r>
      <rPr>
        <sz val="14"/>
        <color rgb="FF3399FF"/>
        <rFont val="宋体"/>
        <charset val="134"/>
      </rPr>
      <t xml:space="preserve">Natizar Port
</t>
    </r>
    <r>
      <rPr>
        <sz val="14"/>
        <color rgb="FF3399FF"/>
        <rFont val="Times New Roman"/>
        <charset val="134"/>
      </rPr>
      <t>连云港</t>
    </r>
  </si>
  <si>
    <r>
      <rPr>
        <sz val="14"/>
        <color rgb="FF3399FF"/>
        <rFont val="宋体"/>
        <charset val="134"/>
      </rPr>
      <t xml:space="preserve">Anston
</t>
    </r>
    <r>
      <rPr>
        <sz val="14"/>
        <color rgb="FF3399FF"/>
        <rFont val="Times New Roman"/>
        <charset val="134"/>
      </rPr>
      <t>安斯顿</t>
    </r>
  </si>
  <si>
    <r>
      <rPr>
        <sz val="14"/>
        <rFont val="宋体"/>
        <charset val="134"/>
      </rPr>
      <t xml:space="preserve">Fullory
</t>
    </r>
    <r>
      <rPr>
        <sz val="14"/>
        <rFont val="Times New Roman"/>
        <charset val="134"/>
      </rPr>
      <t>弗洛伊</t>
    </r>
  </si>
  <si>
    <r>
      <rPr>
        <sz val="14"/>
        <color rgb="FF3399FF"/>
        <rFont val="宋体"/>
        <charset val="134"/>
      </rPr>
      <t xml:space="preserve">Sunshine Island
</t>
    </r>
    <r>
      <rPr>
        <sz val="14"/>
        <color rgb="FF3399FF"/>
        <rFont val="Times New Roman"/>
        <charset val="134"/>
      </rPr>
      <t>日光岛</t>
    </r>
  </si>
  <si>
    <r>
      <rPr>
        <sz val="14"/>
        <rFont val="宋体"/>
        <charset val="134"/>
      </rPr>
      <t xml:space="preserve">Wixes
</t>
    </r>
    <r>
      <rPr>
        <sz val="14"/>
        <rFont val="Times New Roman"/>
        <charset val="134"/>
      </rPr>
      <t>威西斯</t>
    </r>
  </si>
  <si>
    <r>
      <rPr>
        <sz val="14"/>
        <rFont val="宋体"/>
        <charset val="134"/>
      </rPr>
      <t xml:space="preserve">Warld
</t>
    </r>
    <r>
      <rPr>
        <sz val="14"/>
        <rFont val="Times New Roman"/>
        <charset val="134"/>
      </rPr>
      <t>瓦尔登</t>
    </r>
  </si>
  <si>
    <r>
      <rPr>
        <sz val="14"/>
        <color rgb="FF3399FF"/>
        <rFont val="宋体"/>
        <charset val="134"/>
      </rPr>
      <t xml:space="preserve">Carnival
</t>
    </r>
    <r>
      <rPr>
        <sz val="14"/>
        <color rgb="FF3399FF"/>
        <rFont val="Times New Roman"/>
        <charset val="134"/>
      </rPr>
      <t>嘉年华</t>
    </r>
  </si>
  <si>
    <r>
      <rPr>
        <sz val="14"/>
        <color rgb="FF3399FF"/>
        <rFont val="宋体"/>
        <charset val="134"/>
      </rPr>
      <t xml:space="preserve">Sulphur Ocean
</t>
    </r>
    <r>
      <rPr>
        <sz val="14"/>
        <color rgb="FF3399FF"/>
        <rFont val="Times New Roman"/>
        <charset val="134"/>
      </rPr>
      <t>硫磺海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</si>
</sst>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E+00"/>
    <numFmt numFmtId="177" formatCode="[=0]&quot;&quot;;\x0"/>
    <numFmt numFmtId="178" formatCode="&quot;+&quot;0"/>
    <numFmt numFmtId="179" formatCode="&quot;/&quot;General"/>
    <numFmt numFmtId="180" formatCode="&quot;/&quot;0"/>
    <numFmt numFmtId="181" formatCode="0_);[Red]\(0\)"/>
    <numFmt numFmtId="182" formatCode="[=-1]&quot;-&quot;;General"/>
  </numFmts>
  <fonts count="56">
    <font>
      <sz val="11"/>
      <name val="宋体"/>
      <charset val="134"/>
    </font>
    <font>
      <sz val="14"/>
      <name val="宋体"/>
      <charset val="134"/>
    </font>
    <font>
      <sz val="14"/>
      <color rgb="FF3399FF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sz val="10"/>
      <color rgb="FFA9D08E"/>
      <name val="宋体"/>
      <charset val="134"/>
    </font>
    <font>
      <b/>
      <sz val="12"/>
      <color rgb="FF548235"/>
      <name val="宋体"/>
      <charset val="134"/>
    </font>
    <font>
      <sz val="9"/>
      <color rgb="FFA9D08E"/>
      <name val="宋体"/>
      <charset val="134"/>
    </font>
    <font>
      <sz val="9"/>
      <name val="宋体"/>
      <charset val="134"/>
    </font>
    <font>
      <sz val="11"/>
      <color rgb="FF548235"/>
      <name val="宋体"/>
      <charset val="134"/>
    </font>
    <font>
      <sz val="10"/>
      <color rgb="FF548235"/>
      <name val="宋体"/>
      <charset val="134"/>
    </font>
    <font>
      <b/>
      <sz val="10"/>
      <color rgb="FF548235"/>
      <name val="宋体"/>
      <charset val="134"/>
    </font>
    <font>
      <sz val="8"/>
      <name val="宋体"/>
      <charset val="134"/>
    </font>
    <font>
      <sz val="12"/>
      <name val="宋体"/>
      <charset val="134"/>
    </font>
    <font>
      <b/>
      <sz val="11"/>
      <color rgb="FF548235"/>
      <name val="宋体"/>
      <charset val="134"/>
    </font>
    <font>
      <b/>
      <sz val="10"/>
      <name val="宋体"/>
      <charset val="134"/>
    </font>
    <font>
      <sz val="8"/>
      <color rgb="FF8EA9DB"/>
      <name val="宋体"/>
      <charset val="134"/>
    </font>
    <font>
      <sz val="11"/>
      <color rgb="FF8EA9DB"/>
      <name val="宋体"/>
      <charset val="134"/>
    </font>
    <font>
      <sz val="12"/>
      <color rgb="FF548235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9"/>
      <color rgb="FF548235"/>
      <name val="宋体"/>
      <charset val="134"/>
    </font>
    <font>
      <b/>
      <sz val="12"/>
      <color rgb="FFFFFFFF"/>
      <name val="宋体"/>
      <charset val="134"/>
    </font>
    <font>
      <b/>
      <sz val="10"/>
      <color rgb="FFFFFFFF"/>
      <name val="宋体"/>
      <charset val="134"/>
    </font>
    <font>
      <b/>
      <sz val="9"/>
      <color rgb="FFA9D08E"/>
      <name val="宋体"/>
      <charset val="134"/>
    </font>
    <font>
      <sz val="10"/>
      <color rgb="FFFFC000"/>
      <name val="宋体"/>
      <charset val="134"/>
    </font>
    <font>
      <sz val="10"/>
      <color rgb="FFBF0000"/>
      <name val="宋体"/>
      <charset val="134"/>
    </font>
    <font>
      <sz val="10"/>
      <color rgb="FF70AD47"/>
      <name val="宋体"/>
      <charset val="134"/>
    </font>
    <font>
      <b/>
      <sz val="10"/>
      <color rgb="FFFF0000"/>
      <name val="宋体"/>
      <charset val="134"/>
    </font>
    <font>
      <b/>
      <sz val="10"/>
      <color rgb="FF00B0F0"/>
      <name val="宋体"/>
      <charset val="134"/>
    </font>
    <font>
      <sz val="8"/>
      <color rgb="FF548235"/>
      <name val="宋体"/>
      <charset val="134"/>
    </font>
    <font>
      <sz val="10"/>
      <color rgb="FF02A5E3"/>
      <name val="宋体"/>
      <charset val="134"/>
    </font>
    <font>
      <sz val="11"/>
      <color rgb="FFA9D08E"/>
      <name val="宋体"/>
      <charset val="134"/>
    </font>
    <font>
      <b/>
      <sz val="12"/>
      <color rgb="FFA9D08E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3399FF"/>
      <name val="Times New Roman"/>
      <charset val="134"/>
    </font>
    <font>
      <sz val="14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rgb="FF99CCFF"/>
      </right>
      <top/>
      <bottom/>
      <diagonal/>
    </border>
    <border diagonalDown="1">
      <left/>
      <right/>
      <top/>
      <bottom/>
      <diagonal style="thick">
        <color rgb="FF99CCFF"/>
      </diagonal>
    </border>
    <border diagonalUp="1">
      <left/>
      <right/>
      <top/>
      <bottom/>
      <diagonal style="thick">
        <color auto="1"/>
      </diagonal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 diagonalDown="1">
      <left/>
      <right/>
      <top/>
      <bottom/>
      <diagonal style="thick">
        <color auto="1"/>
      </diagonal>
    </border>
    <border>
      <left/>
      <right/>
      <top style="thick">
        <color rgb="FF99CCFF"/>
      </top>
      <bottom/>
      <diagonal/>
    </border>
    <border diagonalUp="1">
      <left/>
      <right/>
      <top/>
      <bottom/>
      <diagonal style="thick">
        <color rgb="FF99CCFF"/>
      </diagonal>
    </border>
    <border>
      <left/>
      <right/>
      <top/>
      <bottom style="thick">
        <color rgb="FF548235"/>
      </bottom>
      <diagonal/>
    </border>
    <border>
      <left style="dashed">
        <color rgb="FFA9D08E"/>
      </left>
      <right style="dashed">
        <color rgb="FFA9D08E"/>
      </right>
      <top style="dashed">
        <color rgb="FFA9D08E"/>
      </top>
      <bottom style="dashed">
        <color rgb="FFA9D08E"/>
      </bottom>
      <diagonal/>
    </border>
    <border>
      <left style="dashed">
        <color rgb="FFA9D08E"/>
      </left>
      <right/>
      <top style="dashed">
        <color rgb="FFA9D08E"/>
      </top>
      <bottom/>
      <diagonal/>
    </border>
    <border>
      <left/>
      <right/>
      <top style="dashed">
        <color rgb="FFA9D08E"/>
      </top>
      <bottom/>
      <diagonal/>
    </border>
    <border>
      <left style="dashed">
        <color rgb="FFA9D08E"/>
      </left>
      <right/>
      <top/>
      <bottom/>
      <diagonal/>
    </border>
    <border>
      <left style="dashed">
        <color rgb="FFA9D08E"/>
      </left>
      <right/>
      <top/>
      <bottom style="dashed">
        <color rgb="FFA9D08E"/>
      </bottom>
      <diagonal/>
    </border>
    <border>
      <left/>
      <right/>
      <top/>
      <bottom style="dashed">
        <color rgb="FFA9D08E"/>
      </bottom>
      <diagonal/>
    </border>
    <border>
      <left/>
      <right style="dashed">
        <color rgb="FFA9D08E"/>
      </right>
      <top style="dashed">
        <color rgb="FFA9D08E"/>
      </top>
      <bottom/>
      <diagonal/>
    </border>
    <border>
      <left/>
      <right style="dashed">
        <color rgb="FFA9D08E"/>
      </right>
      <top/>
      <bottom/>
      <diagonal/>
    </border>
    <border>
      <left/>
      <right style="dashed">
        <color rgb="FFA9D08E"/>
      </right>
      <top/>
      <bottom style="dashed">
        <color rgb="FFA9D08E"/>
      </bottom>
      <diagonal/>
    </border>
    <border>
      <left style="dashed">
        <color rgb="FFA9D08E"/>
      </left>
      <right/>
      <top style="dashed">
        <color rgb="FFA9D08E"/>
      </top>
      <bottom style="dashed">
        <color rgb="FFA9D08E"/>
      </bottom>
      <diagonal/>
    </border>
    <border>
      <left/>
      <right style="dashed">
        <color rgb="FFA9D08E"/>
      </right>
      <top style="dashed">
        <color rgb="FFA9D08E"/>
      </top>
      <bottom style="dashed">
        <color rgb="FFA9D08E"/>
      </bottom>
      <diagonal/>
    </border>
    <border>
      <left/>
      <right/>
      <top style="dashed">
        <color rgb="FFA9D08E"/>
      </top>
      <bottom style="dashed">
        <color rgb="FFA9D08E"/>
      </bottom>
      <diagonal/>
    </border>
    <border>
      <left/>
      <right/>
      <top/>
      <bottom style="medium">
        <color rgb="FF548235"/>
      </bottom>
      <diagonal/>
    </border>
    <border>
      <left style="dashed">
        <color theme="9" tint="0.399945066682943"/>
      </left>
      <right/>
      <top style="dashed">
        <color theme="9" tint="0.399945066682943"/>
      </top>
      <bottom/>
      <diagonal/>
    </border>
    <border>
      <left/>
      <right/>
      <top style="dashed">
        <color theme="9" tint="0.399945066682943"/>
      </top>
      <bottom/>
      <diagonal/>
    </border>
    <border>
      <left/>
      <right style="dashed">
        <color theme="9" tint="0.399945066682943"/>
      </right>
      <top style="dashed">
        <color theme="9" tint="0.399945066682943"/>
      </top>
      <bottom/>
      <diagonal/>
    </border>
    <border>
      <left style="dashed">
        <color theme="9" tint="0.399945066682943"/>
      </left>
      <right/>
      <top/>
      <bottom/>
      <diagonal/>
    </border>
    <border>
      <left/>
      <right style="dashed">
        <color theme="9" tint="0.399945066682943"/>
      </right>
      <top/>
      <bottom/>
      <diagonal/>
    </border>
    <border>
      <left style="dashed">
        <color theme="9" tint="0.399914548173467"/>
      </left>
      <right/>
      <top style="dashed">
        <color theme="9" tint="0.399914548173467"/>
      </top>
      <bottom/>
      <diagonal/>
    </border>
    <border>
      <left/>
      <right/>
      <top style="dashed">
        <color theme="9" tint="0.399914548173467"/>
      </top>
      <bottom/>
      <diagonal/>
    </border>
    <border>
      <left style="dashed">
        <color theme="9" tint="0.399914548173467"/>
      </left>
      <right/>
      <top/>
      <bottom style="dashed">
        <color theme="9" tint="0.399914548173467"/>
      </bottom>
      <diagonal/>
    </border>
    <border>
      <left/>
      <right/>
      <top/>
      <bottom style="dashed">
        <color theme="9" tint="0.399914548173467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theme="9" tint="0.399914548173467"/>
      </right>
      <top style="dashed">
        <color theme="9" tint="0.399914548173467"/>
      </top>
      <bottom/>
      <diagonal/>
    </border>
    <border>
      <left/>
      <right style="dashed">
        <color theme="9" tint="0.399914548173467"/>
      </right>
      <top/>
      <bottom style="dashed">
        <color theme="9" tint="0.399914548173467"/>
      </bottom>
      <diagonal/>
    </border>
    <border>
      <left style="dotted">
        <color rgb="FFA9D08E"/>
      </left>
      <right style="dotted">
        <color rgb="FFA9D08E"/>
      </right>
      <top style="dotted">
        <color rgb="FFA9D08E"/>
      </top>
      <bottom style="dotted">
        <color rgb="FFA9D08E"/>
      </bottom>
      <diagonal/>
    </border>
    <border>
      <left style="dotted">
        <color rgb="FFA9D08E"/>
      </left>
      <right/>
      <top style="dotted">
        <color rgb="FFA9D08E"/>
      </top>
      <bottom/>
      <diagonal/>
    </border>
    <border>
      <left/>
      <right/>
      <top style="dotted">
        <color rgb="FFA9D08E"/>
      </top>
      <bottom/>
      <diagonal/>
    </border>
    <border>
      <left style="dotted">
        <color rgb="FFA9D08E"/>
      </left>
      <right/>
      <top/>
      <bottom style="dotted">
        <color rgb="FFA9D08E"/>
      </bottom>
      <diagonal/>
    </border>
    <border>
      <left/>
      <right/>
      <top/>
      <bottom style="dotted">
        <color rgb="FFA9D08E"/>
      </bottom>
      <diagonal/>
    </border>
    <border>
      <left style="dashed">
        <color rgb="FFA9D08E"/>
      </left>
      <right style="dashed">
        <color rgb="FFA9D08E"/>
      </right>
      <top style="dashed">
        <color rgb="FFA9D08E"/>
      </top>
      <bottom/>
      <diagonal/>
    </border>
    <border>
      <left style="dashed">
        <color rgb="FFA9D08E"/>
      </left>
      <right style="dashed">
        <color rgb="FFA9D08E"/>
      </right>
      <top/>
      <bottom style="dashed">
        <color rgb="FFA9D08E"/>
      </bottom>
      <diagonal/>
    </border>
    <border>
      <left/>
      <right style="dotted">
        <color rgb="FFA9D08E"/>
      </right>
      <top style="dotted">
        <color rgb="FFA9D08E"/>
      </top>
      <bottom/>
      <diagonal/>
    </border>
    <border>
      <left/>
      <right style="dotted">
        <color rgb="FFA9D08E"/>
      </right>
      <top/>
      <bottom style="dotted">
        <color rgb="FFA9D08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protection locked="0"/>
    </xf>
    <xf numFmtId="44" fontId="3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6" borderId="46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47" applyNumberFormat="0" applyFill="0" applyAlignment="0" applyProtection="0">
      <alignment vertical="center"/>
    </xf>
    <xf numFmtId="0" fontId="41" fillId="0" borderId="47" applyNumberFormat="0" applyFill="0" applyAlignment="0" applyProtection="0">
      <alignment vertical="center"/>
    </xf>
    <xf numFmtId="0" fontId="42" fillId="0" borderId="48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7" borderId="49" applyNumberFormat="0" applyAlignment="0" applyProtection="0">
      <alignment vertical="center"/>
    </xf>
    <xf numFmtId="0" fontId="44" fillId="8" borderId="50" applyNumberFormat="0" applyAlignment="0" applyProtection="0">
      <alignment vertical="center"/>
    </xf>
    <xf numFmtId="0" fontId="45" fillId="8" borderId="49" applyNumberFormat="0" applyAlignment="0" applyProtection="0">
      <alignment vertical="center"/>
    </xf>
    <xf numFmtId="0" fontId="46" fillId="9" borderId="51" applyNumberFormat="0" applyAlignment="0" applyProtection="0">
      <alignment vertical="center"/>
    </xf>
    <xf numFmtId="0" fontId="47" fillId="0" borderId="52" applyNumberFormat="0" applyFill="0" applyAlignment="0" applyProtection="0">
      <alignment vertical="center"/>
    </xf>
    <xf numFmtId="0" fontId="48" fillId="0" borderId="53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</cellStyleXfs>
  <cellXfs count="27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center"/>
    </xf>
    <xf numFmtId="0" fontId="0" fillId="0" borderId="0" xfId="0" applyFont="1" applyBorder="1">
      <alignment vertical="center"/>
    </xf>
    <xf numFmtId="0" fontId="5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10" xfId="0" applyFont="1" applyBorder="1">
      <alignment vertic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1" fillId="0" borderId="11" xfId="0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left" vertical="top" wrapText="1"/>
      <protection locked="0"/>
    </xf>
    <xf numFmtId="0" fontId="12" fillId="0" borderId="13" xfId="0" applyFont="1" applyBorder="1" applyAlignment="1" applyProtection="1">
      <alignment horizontal="left" vertical="top" wrapText="1"/>
      <protection locked="0"/>
    </xf>
    <xf numFmtId="0" fontId="12" fillId="0" borderId="14" xfId="0" applyFont="1" applyBorder="1" applyAlignment="1" applyProtection="1">
      <alignment horizontal="left" vertical="top" wrapText="1"/>
      <protection locked="0"/>
    </xf>
    <xf numFmtId="0" fontId="12" fillId="0" borderId="0" xfId="0" applyFont="1" applyBorder="1" applyAlignment="1" applyProtection="1">
      <alignment horizontal="left" vertical="top" wrapText="1"/>
      <protection locked="0"/>
    </xf>
    <xf numFmtId="0" fontId="12" fillId="0" borderId="15" xfId="0" applyFont="1" applyBorder="1" applyAlignment="1" applyProtection="1">
      <alignment horizontal="left" vertical="top" wrapText="1"/>
      <protection locked="0"/>
    </xf>
    <xf numFmtId="0" fontId="12" fillId="0" borderId="16" xfId="0" applyFont="1" applyBorder="1" applyAlignment="1" applyProtection="1">
      <alignment horizontal="left" vertical="top" wrapText="1"/>
      <protection locked="0"/>
    </xf>
    <xf numFmtId="0" fontId="3" fillId="0" borderId="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13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1" fillId="2" borderId="11" xfId="0" applyFont="1" applyFill="1" applyBorder="1" applyAlignment="1" applyProtection="1">
      <alignment horizontal="center" vertical="center"/>
      <protection locked="0"/>
    </xf>
    <xf numFmtId="176" fontId="10" fillId="0" borderId="0" xfId="0" applyNumberFormat="1" applyFont="1" applyAlignment="1">
      <alignment horizontal="center" vertical="center"/>
    </xf>
    <xf numFmtId="0" fontId="12" fillId="0" borderId="17" xfId="0" applyFont="1" applyBorder="1" applyAlignment="1" applyProtection="1">
      <alignment horizontal="left" vertical="top" wrapText="1"/>
      <protection locked="0"/>
    </xf>
    <xf numFmtId="0" fontId="12" fillId="0" borderId="18" xfId="0" applyFont="1" applyBorder="1" applyAlignment="1" applyProtection="1">
      <alignment horizontal="left" vertical="top" wrapText="1"/>
      <protection locked="0"/>
    </xf>
    <xf numFmtId="0" fontId="12" fillId="0" borderId="19" xfId="0" applyFont="1" applyBorder="1" applyAlignment="1" applyProtection="1">
      <alignment horizontal="left" vertical="top" wrapText="1"/>
      <protection locked="0"/>
    </xf>
    <xf numFmtId="176" fontId="10" fillId="0" borderId="10" xfId="0" applyNumberFormat="1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4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2" borderId="20" xfId="0" applyFont="1" applyFill="1" applyBorder="1" applyAlignment="1" applyProtection="1">
      <alignment horizontal="center" vertical="center"/>
      <protection locked="0"/>
    </xf>
    <xf numFmtId="0" fontId="11" fillId="2" borderId="21" xfId="0" applyFont="1" applyFill="1" applyBorder="1" applyAlignment="1" applyProtection="1">
      <alignment horizontal="center" vertical="center"/>
      <protection locked="0"/>
    </xf>
    <xf numFmtId="0" fontId="15" fillId="0" borderId="21" xfId="0" applyFont="1" applyBorder="1" applyAlignment="1" applyProtection="1">
      <alignment horizontal="left" vertical="center"/>
      <protection locked="0"/>
    </xf>
    <xf numFmtId="0" fontId="15" fillId="0" borderId="11" xfId="0" applyFont="1" applyBorder="1" applyAlignment="1" applyProtection="1">
      <alignment horizontal="left" vertical="center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8" fillId="0" borderId="0" xfId="0" applyFont="1" applyBorder="1" applyAlignment="1" applyProtection="1">
      <alignment horizontal="left" vertical="top" wrapText="1"/>
      <protection locked="0"/>
    </xf>
    <xf numFmtId="0" fontId="8" fillId="0" borderId="13" xfId="0" applyFont="1" applyBorder="1" applyAlignment="1" applyProtection="1">
      <alignment horizontal="left" vertical="top" wrapText="1"/>
      <protection locked="0"/>
    </xf>
    <xf numFmtId="0" fontId="8" fillId="0" borderId="15" xfId="0" applyFont="1" applyBorder="1" applyAlignment="1" applyProtection="1">
      <alignment horizontal="left" vertical="top" wrapText="1"/>
      <protection locked="0"/>
    </xf>
    <xf numFmtId="0" fontId="8" fillId="0" borderId="16" xfId="0" applyFont="1" applyBorder="1" applyAlignment="1" applyProtection="1">
      <alignment horizontal="left" vertical="top" wrapText="1"/>
      <protection locked="0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3" fillId="0" borderId="22" xfId="0" applyFont="1" applyBorder="1" applyAlignment="1" applyProtection="1">
      <alignment horizontal="center" vertical="center" wrapText="1"/>
      <protection locked="0"/>
    </xf>
    <xf numFmtId="0" fontId="4" fillId="0" borderId="10" xfId="0" applyFont="1" applyBorder="1">
      <alignment vertical="center"/>
    </xf>
    <xf numFmtId="0" fontId="8" fillId="0" borderId="17" xfId="0" applyFont="1" applyBorder="1" applyAlignment="1" applyProtection="1">
      <alignment horizontal="left" vertical="top" wrapText="1"/>
      <protection locked="0"/>
    </xf>
    <xf numFmtId="0" fontId="8" fillId="0" borderId="18" xfId="0" applyFont="1" applyBorder="1" applyAlignment="1" applyProtection="1">
      <alignment horizontal="left" vertical="top" wrapText="1"/>
      <protection locked="0"/>
    </xf>
    <xf numFmtId="0" fontId="8" fillId="0" borderId="19" xfId="0" applyFont="1" applyBorder="1" applyAlignment="1" applyProtection="1">
      <alignment horizontal="left" vertical="top" wrapText="1"/>
      <protection locked="0"/>
    </xf>
    <xf numFmtId="177" fontId="3" fillId="0" borderId="22" xfId="0" applyNumberFormat="1" applyFont="1" applyBorder="1" applyAlignment="1" applyProtection="1">
      <alignment horizontal="left" vertical="center" wrapText="1"/>
      <protection locked="0"/>
    </xf>
    <xf numFmtId="0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0" xfId="0" applyFont="1" applyProtection="1">
      <alignment vertical="center"/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6" fillId="0" borderId="0" xfId="0" applyFont="1" applyProtection="1">
      <alignment vertical="center"/>
      <protection locked="0"/>
    </xf>
    <xf numFmtId="0" fontId="18" fillId="0" borderId="0" xfId="0" applyFont="1" applyFill="1" applyProtection="1">
      <alignment vertical="center"/>
      <protection locked="0"/>
    </xf>
    <xf numFmtId="0" fontId="6" fillId="2" borderId="23" xfId="0" applyFont="1" applyFill="1" applyBorder="1" applyAlignment="1" applyProtection="1">
      <alignment horizontal="left" vertical="center"/>
      <protection locked="0"/>
    </xf>
    <xf numFmtId="0" fontId="14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1" fillId="2" borderId="12" xfId="0" applyFont="1" applyFill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 applyProtection="1">
      <alignment horizontal="center" vertical="center"/>
      <protection locked="0"/>
    </xf>
    <xf numFmtId="0" fontId="19" fillId="0" borderId="13" xfId="0" applyFont="1" applyBorder="1" applyAlignment="1" applyProtection="1">
      <alignment horizontal="left" vertical="center"/>
      <protection locked="0"/>
    </xf>
    <xf numFmtId="0" fontId="10" fillId="2" borderId="14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20" fillId="0" borderId="0" xfId="0" applyFont="1" applyBorder="1" applyAlignment="1" applyProtection="1">
      <alignment horizontal="left" vertical="center"/>
      <protection locked="0"/>
    </xf>
    <xf numFmtId="0" fontId="3" fillId="0" borderId="0" xfId="0" applyFont="1" applyBorder="1" applyAlignment="1" applyProtection="1">
      <alignment horizontal="left" vertical="center"/>
      <protection locked="0"/>
    </xf>
    <xf numFmtId="0" fontId="10" fillId="2" borderId="15" xfId="0" applyFont="1" applyFill="1" applyBorder="1" applyAlignment="1" applyProtection="1">
      <alignment horizontal="center" vertical="center"/>
      <protection locked="0"/>
    </xf>
    <xf numFmtId="0" fontId="10" fillId="2" borderId="16" xfId="0" applyFont="1" applyFill="1" applyBorder="1" applyAlignment="1" applyProtection="1">
      <alignment horizontal="center" vertical="center"/>
      <protection locked="0"/>
    </xf>
    <xf numFmtId="0" fontId="20" fillId="0" borderId="16" xfId="0" applyFont="1" applyBorder="1" applyAlignment="1" applyProtection="1">
      <alignment horizontal="left" vertical="center"/>
      <protection locked="0"/>
    </xf>
    <xf numFmtId="0" fontId="0" fillId="0" borderId="0" xfId="0" applyFont="1" applyBorder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0" borderId="0" xfId="0" applyFont="1" applyFill="1" applyBorder="1" applyAlignment="1" applyProtection="1">
      <alignment horizontal="left"/>
      <protection locked="0"/>
    </xf>
    <xf numFmtId="0" fontId="0" fillId="0" borderId="0" xfId="0" applyFont="1" applyFill="1" applyProtection="1">
      <alignment vertical="center"/>
      <protection locked="0"/>
    </xf>
    <xf numFmtId="0" fontId="10" fillId="3" borderId="24" xfId="0" applyFont="1" applyFill="1" applyBorder="1" applyAlignment="1" applyProtection="1">
      <alignment horizontal="center" vertical="center"/>
      <protection locked="0"/>
    </xf>
    <xf numFmtId="0" fontId="10" fillId="3" borderId="25" xfId="0" applyFont="1" applyFill="1" applyBorder="1" applyAlignment="1" applyProtection="1">
      <alignment horizontal="center" vertical="center"/>
      <protection locked="0"/>
    </xf>
    <xf numFmtId="0" fontId="21" fillId="3" borderId="25" xfId="0" applyFont="1" applyFill="1" applyBorder="1" applyAlignment="1" applyProtection="1">
      <alignment horizontal="center" vertical="center"/>
      <protection locked="0"/>
    </xf>
    <xf numFmtId="0" fontId="21" fillId="3" borderId="26" xfId="0" applyFont="1" applyFill="1" applyBorder="1" applyAlignment="1" applyProtection="1">
      <alignment horizontal="center" vertical="center"/>
      <protection locked="0"/>
    </xf>
    <xf numFmtId="0" fontId="10" fillId="3" borderId="27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Border="1" applyAlignment="1" applyProtection="1">
      <alignment horizontal="center" vertical="center"/>
      <protection locked="0"/>
    </xf>
    <xf numFmtId="0" fontId="21" fillId="3" borderId="0" xfId="0" applyFont="1" applyFill="1" applyBorder="1" applyAlignment="1" applyProtection="1">
      <alignment horizontal="center" vertical="center"/>
      <protection locked="0"/>
    </xf>
    <xf numFmtId="0" fontId="21" fillId="3" borderId="28" xfId="0" applyFont="1" applyFill="1" applyBorder="1" applyAlignment="1" applyProtection="1">
      <alignment horizontal="center" vertical="center"/>
      <protection locked="0"/>
    </xf>
    <xf numFmtId="0" fontId="10" fillId="3" borderId="29" xfId="0" applyFont="1" applyFill="1" applyBorder="1" applyAlignment="1" applyProtection="1">
      <alignment horizontal="center" vertical="center"/>
      <protection locked="0"/>
    </xf>
    <xf numFmtId="0" fontId="10" fillId="3" borderId="30" xfId="0" applyFont="1" applyFill="1" applyBorder="1" applyAlignment="1" applyProtection="1">
      <alignment horizontal="center" vertical="center"/>
      <protection locked="0"/>
    </xf>
    <xf numFmtId="0" fontId="21" fillId="3" borderId="30" xfId="0" applyFont="1" applyFill="1" applyBorder="1" applyAlignment="1" applyProtection="1">
      <alignment horizontal="center" vertical="center"/>
      <protection locked="0"/>
    </xf>
    <xf numFmtId="0" fontId="10" fillId="3" borderId="31" xfId="0" applyFont="1" applyFill="1" applyBorder="1" applyAlignment="1" applyProtection="1">
      <alignment horizontal="center" vertical="center"/>
      <protection locked="0"/>
    </xf>
    <xf numFmtId="0" fontId="10" fillId="3" borderId="32" xfId="0" applyFont="1" applyFill="1" applyBorder="1" applyAlignment="1" applyProtection="1">
      <alignment horizontal="center" vertical="center"/>
      <protection locked="0"/>
    </xf>
    <xf numFmtId="0" fontId="21" fillId="3" borderId="32" xfId="0" applyFont="1" applyFill="1" applyBorder="1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left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9" fillId="0" borderId="0" xfId="0" applyFont="1" applyFill="1" applyBorder="1" applyAlignment="1" applyProtection="1">
      <alignment horizontal="left" vertical="center"/>
      <protection locked="0"/>
    </xf>
    <xf numFmtId="0" fontId="22" fillId="0" borderId="0" xfId="0" applyFont="1" applyFill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 applyProtection="1">
      <alignment horizontal="center" vertical="center"/>
      <protection locked="0"/>
    </xf>
    <xf numFmtId="0" fontId="10" fillId="2" borderId="13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locked="0"/>
    </xf>
    <xf numFmtId="0" fontId="20" fillId="0" borderId="14" xfId="0" applyFont="1" applyBorder="1" applyAlignment="1" applyProtection="1">
      <alignment horizontal="center" vertical="center"/>
      <protection locked="0"/>
    </xf>
    <xf numFmtId="0" fontId="20" fillId="0" borderId="0" xfId="0" applyFont="1" applyBorder="1" applyAlignment="1" applyProtection="1">
      <alignment horizontal="center" vertical="center"/>
      <protection locked="0"/>
    </xf>
    <xf numFmtId="0" fontId="6" fillId="2" borderId="14" xfId="0" applyFont="1" applyFill="1" applyBorder="1" applyAlignment="1" applyProtection="1">
      <alignment horizontal="center" vertical="center"/>
      <protection locked="0"/>
    </xf>
    <xf numFmtId="178" fontId="21" fillId="2" borderId="15" xfId="0" applyNumberFormat="1" applyFont="1" applyFill="1" applyBorder="1" applyAlignment="1" applyProtection="1">
      <alignment horizontal="left" vertical="center"/>
      <protection locked="0"/>
    </xf>
    <xf numFmtId="0" fontId="20" fillId="0" borderId="15" xfId="0" applyFont="1" applyBorder="1" applyAlignment="1" applyProtection="1">
      <alignment horizontal="center" vertical="center"/>
      <protection locked="0"/>
    </xf>
    <xf numFmtId="0" fontId="20" fillId="0" borderId="16" xfId="0" applyFont="1" applyBorder="1" applyAlignment="1" applyProtection="1">
      <alignment horizontal="center" vertical="center"/>
      <protection locked="0"/>
    </xf>
    <xf numFmtId="179" fontId="11" fillId="0" borderId="0" xfId="0" applyNumberFormat="1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1" fillId="2" borderId="23" xfId="0" applyFont="1" applyFill="1" applyBorder="1" applyAlignment="1" applyProtection="1">
      <alignment horizontal="right" vertical="center"/>
      <protection locked="0"/>
    </xf>
    <xf numFmtId="0" fontId="11" fillId="2" borderId="23" xfId="0" applyFont="1" applyFill="1" applyBorder="1" applyAlignment="1" applyProtection="1">
      <alignment horizontal="left" vertical="center"/>
      <protection locked="0"/>
    </xf>
    <xf numFmtId="0" fontId="23" fillId="0" borderId="0" xfId="0" applyFont="1" applyFill="1" applyBorder="1" applyAlignment="1" applyProtection="1">
      <alignment horizontal="center" vertical="center"/>
      <protection locked="0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180" fontId="11" fillId="2" borderId="13" xfId="0" applyNumberFormat="1" applyFont="1" applyFill="1" applyBorder="1" applyAlignment="1" applyProtection="1">
      <alignment horizontal="center" vertical="center"/>
      <protection locked="0"/>
    </xf>
    <xf numFmtId="180" fontId="11" fillId="2" borderId="17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181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center" vertical="center"/>
      <protection locked="0"/>
    </xf>
    <xf numFmtId="180" fontId="11" fillId="2" borderId="0" xfId="0" applyNumberFormat="1" applyFont="1" applyFill="1" applyBorder="1" applyAlignment="1" applyProtection="1">
      <alignment horizontal="center" vertical="center"/>
      <protection locked="0"/>
    </xf>
    <xf numFmtId="180" fontId="11" fillId="2" borderId="18" xfId="0" applyNumberFormat="1" applyFont="1" applyFill="1" applyBorder="1" applyAlignment="1" applyProtection="1">
      <alignment horizontal="center" vertical="center"/>
      <protection locked="0"/>
    </xf>
    <xf numFmtId="9" fontId="14" fillId="2" borderId="20" xfId="3" applyFont="1" applyFill="1" applyBorder="1" applyAlignment="1" applyProtection="1">
      <alignment horizontal="center" vertical="center"/>
      <protection locked="0"/>
    </xf>
    <xf numFmtId="178" fontId="21" fillId="2" borderId="16" xfId="0" applyNumberFormat="1" applyFont="1" applyFill="1" applyBorder="1" applyAlignment="1" applyProtection="1">
      <alignment horizontal="left" vertical="center"/>
      <protection locked="0"/>
    </xf>
    <xf numFmtId="0" fontId="21" fillId="2" borderId="16" xfId="0" applyFont="1" applyFill="1" applyBorder="1" applyAlignment="1" applyProtection="1">
      <alignment horizontal="left" vertical="center"/>
      <protection locked="0"/>
    </xf>
    <xf numFmtId="9" fontId="21" fillId="2" borderId="16" xfId="0" applyNumberFormat="1" applyFont="1" applyFill="1" applyBorder="1" applyAlignment="1" applyProtection="1">
      <alignment horizontal="left" vertical="center"/>
      <protection locked="0"/>
    </xf>
    <xf numFmtId="9" fontId="21" fillId="2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17" xfId="0" applyFont="1" applyFill="1" applyBorder="1" applyAlignment="1" applyProtection="1">
      <alignment horizontal="center" vertical="center"/>
      <protection locked="0"/>
    </xf>
    <xf numFmtId="0" fontId="11" fillId="2" borderId="12" xfId="0" applyFont="1" applyFill="1" applyBorder="1" applyAlignment="1" applyProtection="1">
      <alignment horizontal="left" vertical="center"/>
      <protection locked="0"/>
    </xf>
    <xf numFmtId="0" fontId="11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top"/>
      <protection locked="0"/>
    </xf>
    <xf numFmtId="0" fontId="14" fillId="0" borderId="0" xfId="0" applyFont="1" applyFill="1" applyBorder="1" applyAlignment="1" applyProtection="1">
      <alignment horizontal="center" vertical="top"/>
      <protection locked="0"/>
    </xf>
    <xf numFmtId="0" fontId="14" fillId="0" borderId="0" xfId="0" applyFont="1" applyFill="1" applyBorder="1" applyAlignment="1" applyProtection="1">
      <alignment horizontal="right" vertical="top"/>
      <protection locked="0"/>
    </xf>
    <xf numFmtId="179" fontId="14" fillId="0" borderId="0" xfId="0" applyNumberFormat="1" applyFont="1" applyFill="1" applyBorder="1" applyAlignment="1" applyProtection="1">
      <alignment horizontal="left" vertical="top"/>
      <protection locked="0"/>
    </xf>
    <xf numFmtId="0" fontId="11" fillId="0" borderId="0" xfId="0" applyFont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left"/>
      <protection locked="0"/>
    </xf>
    <xf numFmtId="0" fontId="24" fillId="0" borderId="0" xfId="0" applyFont="1" applyAlignment="1" applyProtection="1">
      <alignment horizontal="center"/>
      <protection locked="0"/>
    </xf>
    <xf numFmtId="181" fontId="14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4" borderId="33" xfId="0" applyFont="1" applyFill="1" applyBorder="1" applyAlignment="1" applyProtection="1">
      <alignment horizontal="center" vertical="center"/>
      <protection locked="0"/>
    </xf>
    <xf numFmtId="0" fontId="0" fillId="4" borderId="34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9" fontId="14" fillId="2" borderId="21" xfId="3" applyFont="1" applyFill="1" applyBorder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left" vertical="center"/>
      <protection locked="0"/>
    </xf>
    <xf numFmtId="0" fontId="14" fillId="2" borderId="21" xfId="0" applyNumberFormat="1" applyFont="1" applyFill="1" applyBorder="1" applyAlignment="1" applyProtection="1">
      <alignment horizontal="center" vertical="center"/>
      <protection locked="0"/>
    </xf>
    <xf numFmtId="49" fontId="28" fillId="0" borderId="0" xfId="0" applyNumberFormat="1" applyFont="1" applyAlignment="1" applyProtection="1">
      <alignment horizontal="center" vertical="center"/>
      <protection locked="0"/>
    </xf>
    <xf numFmtId="182" fontId="28" fillId="0" borderId="0" xfId="0" applyNumberFormat="1" applyFont="1" applyAlignment="1" applyProtection="1">
      <alignment horizontal="center" vertical="center"/>
      <protection locked="0"/>
    </xf>
    <xf numFmtId="49" fontId="29" fillId="0" borderId="0" xfId="0" applyNumberFormat="1" applyFont="1" applyAlignment="1" applyProtection="1">
      <alignment horizontal="center" vertical="center"/>
      <protection locked="0"/>
    </xf>
    <xf numFmtId="182" fontId="29" fillId="0" borderId="0" xfId="0" applyNumberFormat="1" applyFont="1" applyAlignment="1" applyProtection="1">
      <alignment horizontal="center" vertical="center"/>
      <protection locked="0"/>
    </xf>
    <xf numFmtId="49" fontId="15" fillId="0" borderId="0" xfId="0" applyNumberFormat="1" applyFont="1" applyAlignment="1" applyProtection="1">
      <alignment horizontal="center" vertical="center"/>
      <protection locked="0"/>
    </xf>
    <xf numFmtId="182" fontId="15" fillId="0" borderId="0" xfId="0" applyNumberFormat="1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49" fontId="15" fillId="0" borderId="0" xfId="0" applyNumberFormat="1" applyFont="1" applyBorder="1" applyAlignment="1" applyProtection="1">
      <alignment horizontal="center" vertical="center"/>
      <protection locked="0"/>
    </xf>
    <xf numFmtId="182" fontId="15" fillId="0" borderId="0" xfId="0" applyNumberFormat="1" applyFont="1" applyBorder="1" applyAlignment="1" applyProtection="1">
      <alignment horizontal="center" vertical="center"/>
      <protection locked="0"/>
    </xf>
    <xf numFmtId="0" fontId="11" fillId="2" borderId="1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182" fontId="6" fillId="2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Border="1" applyProtection="1">
      <alignment vertical="center"/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0" fontId="20" fillId="0" borderId="11" xfId="0" applyFont="1" applyBorder="1" applyAlignment="1" applyProtection="1">
      <alignment horizontal="center" vertical="center"/>
      <protection locked="0"/>
    </xf>
    <xf numFmtId="0" fontId="30" fillId="0" borderId="11" xfId="0" applyFont="1" applyBorder="1" applyAlignment="1" applyProtection="1">
      <alignment horizontal="center" vertical="top" wrapText="1"/>
      <protection locked="0"/>
    </xf>
    <xf numFmtId="0" fontId="30" fillId="0" borderId="12" xfId="0" applyFont="1" applyBorder="1" applyAlignment="1" applyProtection="1">
      <alignment horizontal="center" vertical="top" wrapText="1"/>
      <protection locked="0"/>
    </xf>
    <xf numFmtId="0" fontId="30" fillId="0" borderId="13" xfId="0" applyFont="1" applyBorder="1" applyAlignment="1" applyProtection="1">
      <alignment horizontal="center" vertical="top" wrapText="1"/>
      <protection locked="0"/>
    </xf>
    <xf numFmtId="0" fontId="30" fillId="0" borderId="17" xfId="0" applyFont="1" applyBorder="1" applyAlignment="1" applyProtection="1">
      <alignment horizontal="center" vertical="top" wrapText="1"/>
      <protection locked="0"/>
    </xf>
    <xf numFmtId="0" fontId="30" fillId="0" borderId="14" xfId="0" applyFont="1" applyBorder="1" applyAlignment="1" applyProtection="1">
      <alignment horizontal="center" vertical="top" wrapText="1"/>
      <protection locked="0"/>
    </xf>
    <xf numFmtId="0" fontId="30" fillId="0" borderId="0" xfId="0" applyFont="1" applyBorder="1" applyAlignment="1" applyProtection="1">
      <alignment horizontal="center" vertical="top" wrapText="1"/>
      <protection locked="0"/>
    </xf>
    <xf numFmtId="0" fontId="30" fillId="0" borderId="18" xfId="0" applyFont="1" applyBorder="1" applyAlignment="1" applyProtection="1">
      <alignment horizontal="center" vertical="top" wrapText="1"/>
      <protection locked="0"/>
    </xf>
    <xf numFmtId="0" fontId="30" fillId="0" borderId="15" xfId="0" applyFont="1" applyBorder="1" applyAlignment="1" applyProtection="1">
      <alignment horizontal="center" vertical="top" wrapText="1"/>
      <protection locked="0"/>
    </xf>
    <xf numFmtId="0" fontId="30" fillId="0" borderId="16" xfId="0" applyFont="1" applyBorder="1" applyAlignment="1" applyProtection="1">
      <alignment horizontal="center" vertical="top" wrapText="1"/>
      <protection locked="0"/>
    </xf>
    <xf numFmtId="0" fontId="30" fillId="0" borderId="19" xfId="0" applyFont="1" applyBorder="1" applyAlignment="1" applyProtection="1">
      <alignment horizontal="center" vertical="top" wrapText="1"/>
      <protection locked="0"/>
    </xf>
    <xf numFmtId="0" fontId="12" fillId="0" borderId="12" xfId="0" applyFont="1" applyBorder="1" applyAlignment="1" applyProtection="1">
      <alignment horizontal="center" vertical="top" wrapText="1"/>
      <protection locked="0"/>
    </xf>
    <xf numFmtId="0" fontId="12" fillId="0" borderId="13" xfId="0" applyFont="1" applyBorder="1" applyAlignment="1" applyProtection="1">
      <alignment horizontal="center" vertical="top" wrapText="1"/>
      <protection locked="0"/>
    </xf>
    <xf numFmtId="0" fontId="12" fillId="0" borderId="17" xfId="0" applyFont="1" applyBorder="1" applyAlignment="1" applyProtection="1">
      <alignment horizontal="center" vertical="top" wrapText="1"/>
      <protection locked="0"/>
    </xf>
    <xf numFmtId="0" fontId="12" fillId="0" borderId="14" xfId="0" applyFont="1" applyBorder="1" applyAlignment="1" applyProtection="1">
      <alignment horizontal="center" vertical="top" wrapText="1"/>
      <protection locked="0"/>
    </xf>
    <xf numFmtId="0" fontId="12" fillId="0" borderId="0" xfId="0" applyFont="1" applyBorder="1" applyAlignment="1" applyProtection="1">
      <alignment horizontal="center" vertical="top" wrapText="1"/>
      <protection locked="0"/>
    </xf>
    <xf numFmtId="0" fontId="12" fillId="0" borderId="18" xfId="0" applyFont="1" applyBorder="1" applyAlignment="1" applyProtection="1">
      <alignment horizontal="center" vertical="top" wrapText="1"/>
      <protection locked="0"/>
    </xf>
    <xf numFmtId="0" fontId="12" fillId="0" borderId="15" xfId="0" applyFont="1" applyBorder="1" applyAlignment="1" applyProtection="1">
      <alignment horizontal="center" vertical="top" wrapText="1"/>
      <protection locked="0"/>
    </xf>
    <xf numFmtId="0" fontId="12" fillId="0" borderId="16" xfId="0" applyFont="1" applyBorder="1" applyAlignment="1" applyProtection="1">
      <alignment horizontal="center" vertical="top" wrapText="1"/>
      <protection locked="0"/>
    </xf>
    <xf numFmtId="0" fontId="12" fillId="0" borderId="19" xfId="0" applyFont="1" applyBorder="1" applyAlignment="1" applyProtection="1">
      <alignment horizontal="center" vertical="top" wrapText="1"/>
      <protection locked="0"/>
    </xf>
    <xf numFmtId="0" fontId="21" fillId="3" borderId="35" xfId="0" applyFont="1" applyFill="1" applyBorder="1" applyAlignment="1" applyProtection="1">
      <alignment horizontal="center" vertical="center"/>
      <protection locked="0"/>
    </xf>
    <xf numFmtId="0" fontId="21" fillId="3" borderId="36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vertical="top"/>
      <protection locked="0"/>
    </xf>
    <xf numFmtId="0" fontId="3" fillId="0" borderId="0" xfId="0" applyFont="1" applyFill="1" applyBorder="1" applyAlignment="1" applyProtection="1">
      <alignment horizontal="center" vertical="top"/>
      <protection locked="0"/>
    </xf>
    <xf numFmtId="0" fontId="6" fillId="2" borderId="37" xfId="0" applyFont="1" applyFill="1" applyBorder="1" applyAlignment="1" applyProtection="1">
      <alignment horizontal="center" vertical="center" wrapText="1"/>
      <protection locked="0"/>
    </xf>
    <xf numFmtId="0" fontId="6" fillId="2" borderId="37" xfId="0" applyFont="1" applyFill="1" applyBorder="1" applyAlignment="1" applyProtection="1">
      <alignment horizontal="center" vertical="center"/>
      <protection locked="0"/>
    </xf>
    <xf numFmtId="0" fontId="3" fillId="0" borderId="38" xfId="0" applyFont="1" applyBorder="1" applyAlignment="1" applyProtection="1">
      <alignment horizontal="center" vertical="top" wrapText="1"/>
      <protection locked="0"/>
    </xf>
    <xf numFmtId="0" fontId="3" fillId="0" borderId="39" xfId="0" applyFont="1" applyBorder="1" applyAlignment="1" applyProtection="1">
      <alignment horizontal="center" vertical="top" wrapText="1"/>
      <protection locked="0"/>
    </xf>
    <xf numFmtId="0" fontId="3" fillId="0" borderId="40" xfId="0" applyFont="1" applyBorder="1" applyAlignment="1" applyProtection="1">
      <alignment horizontal="center" vertical="top" wrapText="1"/>
      <protection locked="0"/>
    </xf>
    <xf numFmtId="0" fontId="3" fillId="0" borderId="41" xfId="0" applyFont="1" applyBorder="1" applyAlignment="1" applyProtection="1">
      <alignment horizontal="center" vertical="top" wrapText="1"/>
      <protection locked="0"/>
    </xf>
    <xf numFmtId="0" fontId="24" fillId="0" borderId="0" xfId="0" applyFont="1" applyAlignment="1" applyProtection="1"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left" vertical="top" wrapText="1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0" fontId="11" fillId="2" borderId="23" xfId="0" applyFont="1" applyFill="1" applyBorder="1" applyAlignment="1" applyProtection="1">
      <alignment horizontal="center" vertical="center"/>
      <protection locked="0"/>
    </xf>
    <xf numFmtId="0" fontId="11" fillId="2" borderId="23" xfId="0" applyNumberFormat="1" applyFont="1" applyFill="1" applyBorder="1" applyAlignment="1" applyProtection="1">
      <alignment horizontal="right"/>
      <protection locked="0"/>
    </xf>
    <xf numFmtId="0" fontId="10" fillId="0" borderId="0" xfId="0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3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11" fillId="2" borderId="42" xfId="0" applyFont="1" applyFill="1" applyBorder="1" applyAlignment="1" applyProtection="1">
      <alignment horizontal="center" vertical="center"/>
      <protection locked="0"/>
    </xf>
    <xf numFmtId="0" fontId="11" fillId="0" borderId="42" xfId="0" applyFont="1" applyBorder="1" applyAlignment="1" applyProtection="1">
      <alignment horizontal="center" vertical="center"/>
      <protection locked="0"/>
    </xf>
    <xf numFmtId="0" fontId="30" fillId="0" borderId="20" xfId="0" applyFont="1" applyBorder="1" applyAlignment="1" applyProtection="1">
      <alignment horizontal="center" vertical="top" wrapText="1"/>
      <protection locked="0"/>
    </xf>
    <xf numFmtId="0" fontId="11" fillId="2" borderId="43" xfId="0" applyFont="1" applyFill="1" applyBorder="1" applyAlignment="1" applyProtection="1">
      <alignment horizontal="center" vertical="center"/>
      <protection locked="0"/>
    </xf>
    <xf numFmtId="0" fontId="11" fillId="0" borderId="43" xfId="0" applyFont="1" applyBorder="1" applyAlignment="1" applyProtection="1">
      <alignment horizontal="center" vertical="center"/>
      <protection locked="0"/>
    </xf>
    <xf numFmtId="177" fontId="3" fillId="0" borderId="0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44" xfId="0" applyFont="1" applyBorder="1" applyAlignment="1" applyProtection="1">
      <alignment horizontal="center" vertical="top" wrapText="1"/>
      <protection locked="0"/>
    </xf>
    <xf numFmtId="0" fontId="3" fillId="2" borderId="38" xfId="0" applyFont="1" applyFill="1" applyBorder="1" applyAlignment="1" applyProtection="1">
      <alignment horizontal="left" vertical="top" wrapText="1"/>
      <protection locked="0"/>
    </xf>
    <xf numFmtId="0" fontId="3" fillId="2" borderId="39" xfId="0" applyFont="1" applyFill="1" applyBorder="1" applyAlignment="1" applyProtection="1">
      <alignment horizontal="left" vertical="top" wrapText="1"/>
      <protection locked="0"/>
    </xf>
    <xf numFmtId="0" fontId="3" fillId="0" borderId="45" xfId="0" applyFont="1" applyBorder="1" applyAlignment="1" applyProtection="1">
      <alignment horizontal="center" vertical="top" wrapText="1"/>
      <protection locked="0"/>
    </xf>
    <xf numFmtId="0" fontId="3" fillId="2" borderId="40" xfId="0" applyFont="1" applyFill="1" applyBorder="1" applyAlignment="1" applyProtection="1">
      <alignment horizontal="left" vertical="top" wrapText="1"/>
      <protection locked="0"/>
    </xf>
    <xf numFmtId="0" fontId="3" fillId="2" borderId="41" xfId="0" applyFont="1" applyFill="1" applyBorder="1" applyAlignment="1" applyProtection="1">
      <alignment horizontal="left" vertical="top" wrapText="1"/>
      <protection locked="0"/>
    </xf>
    <xf numFmtId="180" fontId="11" fillId="2" borderId="23" xfId="0" applyNumberFormat="1" applyFont="1" applyFill="1" applyBorder="1" applyAlignment="1" applyProtection="1">
      <alignment horizontal="left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177" fontId="3" fillId="0" borderId="16" xfId="0" applyNumberFormat="1" applyFont="1" applyBorder="1" applyAlignment="1" applyProtection="1">
      <alignment horizontal="left" vertical="center" wrapText="1"/>
      <protection locked="0"/>
    </xf>
    <xf numFmtId="180" fontId="5" fillId="0" borderId="0" xfId="0" applyNumberFormat="1" applyFont="1" applyAlignment="1" applyProtection="1">
      <alignment horizontal="center" vertical="center"/>
      <protection locked="0"/>
    </xf>
    <xf numFmtId="182" fontId="6" fillId="0" borderId="0" xfId="0" applyNumberFormat="1" applyFont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horizontal="left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177" fontId="3" fillId="0" borderId="0" xfId="0" applyNumberFormat="1" applyFont="1" applyBorder="1" applyAlignment="1" applyProtection="1">
      <alignment horizontal="center" vertical="center"/>
      <protection locked="0"/>
    </xf>
    <xf numFmtId="0" fontId="3" fillId="0" borderId="38" xfId="0" applyFont="1" applyBorder="1" applyAlignment="1" applyProtection="1">
      <alignment horizontal="left" vertical="top" wrapText="1"/>
      <protection locked="0"/>
    </xf>
    <xf numFmtId="0" fontId="3" fillId="0" borderId="40" xfId="0" applyFont="1" applyBorder="1" applyAlignment="1" applyProtection="1">
      <alignment horizontal="left" vertical="top" wrapText="1"/>
      <protection locked="0"/>
    </xf>
    <xf numFmtId="0" fontId="7" fillId="0" borderId="0" xfId="0" applyFont="1" applyFill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1" fillId="2" borderId="37" xfId="0" applyFont="1" applyFill="1" applyBorder="1" applyAlignment="1" applyProtection="1">
      <alignment horizontal="center" vertical="center" wrapText="1"/>
      <protection locked="0"/>
    </xf>
    <xf numFmtId="0" fontId="11" fillId="2" borderId="37" xfId="0" applyFont="1" applyFill="1" applyBorder="1" applyAlignment="1" applyProtection="1">
      <alignment horizontal="center" vertical="center"/>
      <protection locked="0"/>
    </xf>
    <xf numFmtId="0" fontId="3" fillId="0" borderId="37" xfId="0" applyFont="1" applyBorder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/>
      <protection locked="0"/>
    </xf>
    <xf numFmtId="177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4" xfId="0" applyFont="1" applyFill="1" applyBorder="1" applyAlignment="1" applyProtection="1">
      <alignment horizontal="left" vertical="top" wrapText="1"/>
      <protection locked="0"/>
    </xf>
    <xf numFmtId="0" fontId="3" fillId="2" borderId="45" xfId="0" applyFont="1" applyFill="1" applyBorder="1" applyAlignment="1" applyProtection="1">
      <alignment horizontal="left" vertical="top" wrapText="1"/>
      <protection locked="0"/>
    </xf>
    <xf numFmtId="0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3" fillId="0" borderId="39" xfId="0" applyFont="1" applyBorder="1" applyAlignment="1" applyProtection="1">
      <alignment horizontal="left" vertical="top" wrapText="1"/>
      <protection locked="0"/>
    </xf>
    <xf numFmtId="0" fontId="3" fillId="0" borderId="41" xfId="0" applyFont="1" applyBorder="1" applyAlignment="1" applyProtection="1">
      <alignment horizontal="left" vertical="top" wrapText="1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3" fillId="0" borderId="44" xfId="0" applyFont="1" applyBorder="1" applyAlignment="1" applyProtection="1">
      <alignment horizontal="left" vertical="top" wrapText="1"/>
      <protection locked="0"/>
    </xf>
    <xf numFmtId="0" fontId="3" fillId="0" borderId="45" xfId="0" applyFont="1" applyBorder="1" applyAlignment="1" applyProtection="1">
      <alignment horizontal="left" vertical="top" wrapText="1"/>
      <protection locked="0"/>
    </xf>
    <xf numFmtId="0" fontId="3" fillId="2" borderId="37" xfId="0" applyFont="1" applyFill="1" applyBorder="1" applyAlignment="1" applyProtection="1">
      <alignment horizontal="left" vertical="top" wrapText="1"/>
      <protection locked="0"/>
    </xf>
    <xf numFmtId="0" fontId="16" fillId="0" borderId="0" xfId="0" applyFont="1" applyFill="1" applyAlignment="1" applyProtection="1">
      <alignment horizontal="left" vertical="center"/>
      <protection locked="0"/>
    </xf>
    <xf numFmtId="0" fontId="16" fillId="0" borderId="0" xfId="0" applyFont="1" applyFill="1" applyProtection="1">
      <alignment vertical="center"/>
      <protection locked="0"/>
    </xf>
    <xf numFmtId="0" fontId="16" fillId="0" borderId="0" xfId="0" applyFont="1" applyFill="1" applyAlignment="1" applyProtection="1">
      <alignment horizontal="center" vertical="center"/>
      <protection locked="0"/>
    </xf>
    <xf numFmtId="49" fontId="16" fillId="0" borderId="0" xfId="0" applyNumberFormat="1" applyFont="1" applyAlignment="1" applyProtection="1">
      <alignment horizontal="center" vertical="center"/>
      <protection locked="0"/>
    </xf>
    <xf numFmtId="0" fontId="16" fillId="5" borderId="0" xfId="0" applyFont="1" applyFill="1" applyProtection="1">
      <alignment vertical="center"/>
      <protection locked="0"/>
    </xf>
    <xf numFmtId="0" fontId="16" fillId="0" borderId="0" xfId="1" applyNumberFormat="1" applyFont="1" applyAlignment="1">
      <alignment horizontal="center" vertical="center"/>
      <protection locked="0"/>
    </xf>
    <xf numFmtId="0" fontId="16" fillId="0" borderId="0" xfId="0" applyNumberFormat="1" applyFont="1" applyAlignment="1" applyProtection="1">
      <alignment horizontal="center" vertical="center"/>
      <protection locked="0"/>
    </xf>
    <xf numFmtId="9" fontId="16" fillId="0" borderId="0" xfId="0" applyNumberFormat="1" applyFont="1" applyProtection="1">
      <alignment vertical="center"/>
      <protection locked="0"/>
    </xf>
    <xf numFmtId="0" fontId="3" fillId="0" borderId="0" xfId="0" applyFont="1" quotePrefix="1">
      <alignment vertical="center"/>
    </xf>
    <xf numFmtId="0" fontId="3" fillId="0" borderId="0" xfId="0" applyFont="1" applyAlignment="1" quotePrefix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indexed="0"/>
          <bgColor rgb="FFF9C002"/>
        </patternFill>
      </fill>
    </dxf>
  </dxfs>
  <tableStyles count="0" defaultTableStyle="TableStyleMedium2" defaultPivotStyle="PivotStyleLight16"/>
  <colors>
    <mruColors>
      <color rgb="00A9D08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S50"/>
  <sheetViews>
    <sheetView showGridLines="0" workbookViewId="0">
      <selection activeCell="D3" sqref="D3:I3"/>
    </sheetView>
  </sheetViews>
  <sheetFormatPr defaultColWidth="0" defaultRowHeight="18" customHeight="1"/>
  <cols>
    <col min="1" max="1" width="3.5" style="72" customWidth="1"/>
    <col min="2" max="76" width="3.5" style="73" customWidth="1"/>
    <col min="77" max="77" width="3.5" style="74" customWidth="1"/>
    <col min="78" max="78" width="3.5" style="75" customWidth="1"/>
    <col min="79" max="79" width="3.5" style="76" customWidth="1"/>
    <col min="80" max="83" width="3.5" style="75" customWidth="1"/>
    <col min="84" max="91" width="3.5" style="77" customWidth="1"/>
    <col min="92" max="104" width="3.5" style="73" customWidth="1"/>
    <col min="105" max="129" width="3.5" style="73" hidden="1" customWidth="1"/>
    <col min="130" max="16384" width="0" style="73" hidden="1"/>
  </cols>
  <sheetData>
    <row r="1" customHeight="1" spans="2:25">
      <c r="B1" s="78"/>
      <c r="C1" s="78"/>
      <c r="I1" s="111"/>
      <c r="J1" s="112"/>
      <c r="K1" s="112"/>
      <c r="L1" s="113"/>
      <c r="M1" s="113"/>
      <c r="N1" s="72"/>
      <c r="O1" s="72"/>
      <c r="P1" s="72"/>
      <c r="Q1" s="112"/>
      <c r="R1" s="112"/>
      <c r="S1" s="112"/>
      <c r="T1" s="128"/>
      <c r="U1" s="128"/>
      <c r="V1" s="128"/>
      <c r="W1" s="128"/>
      <c r="X1" s="128"/>
      <c r="Y1" s="128"/>
    </row>
    <row r="2" customHeight="1" spans="2:97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129" t="s">
        <v>1</v>
      </c>
      <c r="W2" s="129"/>
      <c r="X2" s="130" t="s">
        <v>2</v>
      </c>
      <c r="Y2" s="130"/>
      <c r="Z2" s="72"/>
      <c r="AA2" s="79" t="s">
        <v>3</v>
      </c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218" t="s">
        <v>4</v>
      </c>
      <c r="AT2" s="218"/>
      <c r="AU2" s="219" cm="1">
        <f t="array" ref="AU2">AW2-SUM(2^(AC6:AC12+1),2^(AF6:AF12+1),2^(AI6:AI12+1),2^(AL6:AL12+1),2^(AO6:AO12+1),2^(AR6:AR12+1),2^(AU6:AU12+1),2^(AX6:AX12+1))+56</f>
        <v>0</v>
      </c>
      <c r="AV2" s="219"/>
      <c r="AW2" s="237">
        <f>CL25</f>
        <v>0</v>
      </c>
      <c r="AX2" s="237"/>
      <c r="AY2" s="238"/>
      <c r="AZ2" s="79" t="s">
        <v>5</v>
      </c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261" t="s">
        <v>6</v>
      </c>
      <c r="BS2" s="261"/>
      <c r="BT2" s="130">
        <v>0</v>
      </c>
      <c r="BU2" s="130"/>
      <c r="BV2" s="130"/>
      <c r="BW2" s="130"/>
      <c r="BY2" s="74">
        <v>0</v>
      </c>
      <c r="BZ2" s="75">
        <v>0</v>
      </c>
      <c r="CB2" s="75" t="s">
        <v>7</v>
      </c>
      <c r="CC2" s="75">
        <f>INT((J5*2+N5)/5-3)</f>
        <v>-3</v>
      </c>
      <c r="CD2" s="75" t="s">
        <v>8</v>
      </c>
      <c r="CE2" s="75">
        <f>INT((N7*2+J9)/5-3)</f>
        <v>-3</v>
      </c>
      <c r="CF2" s="266"/>
      <c r="CG2" s="266"/>
      <c r="CH2" s="266"/>
      <c r="CI2" s="266"/>
      <c r="CJ2" s="266"/>
      <c r="CK2" s="266"/>
      <c r="CL2" s="266"/>
      <c r="CM2" s="266"/>
      <c r="CN2" s="266"/>
      <c r="CO2" s="266"/>
      <c r="CP2" s="266"/>
      <c r="CQ2" s="266"/>
      <c r="CR2" s="266"/>
      <c r="CS2" s="77"/>
    </row>
    <row r="3" customHeight="1" spans="2:97">
      <c r="B3" s="80" t="s">
        <v>9</v>
      </c>
      <c r="C3" s="80"/>
      <c r="D3" s="81" t="s">
        <v>10</v>
      </c>
      <c r="E3" s="81"/>
      <c r="F3" s="81"/>
      <c r="G3" s="81"/>
      <c r="H3" s="81"/>
      <c r="I3" s="81"/>
      <c r="J3" s="80" t="s">
        <v>11</v>
      </c>
      <c r="K3" s="80"/>
      <c r="L3" s="114">
        <f>SUM(J4:O9)</f>
        <v>0</v>
      </c>
      <c r="M3" s="114"/>
      <c r="N3" s="115"/>
      <c r="O3" s="115"/>
      <c r="P3" s="115"/>
      <c r="Q3" s="115"/>
      <c r="R3" s="131"/>
      <c r="S3" s="131"/>
      <c r="T3" s="131"/>
      <c r="U3" s="131"/>
      <c r="V3" s="131"/>
      <c r="W3" s="131"/>
      <c r="X3" s="131"/>
      <c r="Y3" s="131"/>
      <c r="Z3" s="72"/>
      <c r="AA3" s="157" t="s">
        <v>12</v>
      </c>
      <c r="AB3" s="157"/>
      <c r="AC3" s="158"/>
      <c r="AD3" s="158"/>
      <c r="AE3" s="157" t="s">
        <v>13</v>
      </c>
      <c r="AF3" s="157"/>
      <c r="AG3" s="157"/>
      <c r="AH3" s="157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39"/>
      <c r="BA3" s="240"/>
      <c r="BB3" s="240"/>
      <c r="BC3" s="240"/>
      <c r="BD3" s="241"/>
      <c r="BE3" s="258"/>
      <c r="BF3" s="239"/>
      <c r="BG3" s="240"/>
      <c r="BH3" s="240"/>
      <c r="BI3" s="240"/>
      <c r="BJ3" s="241"/>
      <c r="BK3" s="258"/>
      <c r="BL3" s="239"/>
      <c r="BM3" s="240"/>
      <c r="BN3" s="240"/>
      <c r="BO3" s="240"/>
      <c r="BP3" s="241"/>
      <c r="BQ3" s="258"/>
      <c r="BR3" s="239"/>
      <c r="BS3" s="240"/>
      <c r="BT3" s="240"/>
      <c r="BU3" s="240"/>
      <c r="BV3" s="241"/>
      <c r="BW3" s="258"/>
      <c r="BY3" s="74" t="s">
        <v>14</v>
      </c>
      <c r="BZ3" s="75">
        <f>J5+L5</f>
        <v>0</v>
      </c>
      <c r="CB3" s="75">
        <v>-3</v>
      </c>
      <c r="CC3" s="74" t="s">
        <v>15</v>
      </c>
      <c r="CE3" s="267"/>
      <c r="CF3" s="267"/>
      <c r="CG3" s="266"/>
      <c r="CH3" s="266"/>
      <c r="CI3" s="266"/>
      <c r="CJ3" s="266"/>
      <c r="CK3" s="266"/>
      <c r="CL3" s="266"/>
      <c r="CM3" s="96"/>
      <c r="CN3" s="267"/>
      <c r="CO3" s="266"/>
      <c r="CP3" s="266"/>
      <c r="CQ3" s="266"/>
      <c r="CR3" s="266"/>
      <c r="CS3" s="77"/>
    </row>
    <row r="4" customHeight="1" spans="2:97">
      <c r="B4" s="82" t="s">
        <v>16</v>
      </c>
      <c r="C4" s="83"/>
      <c r="D4" s="84" t="s">
        <v>17</v>
      </c>
      <c r="E4" s="84"/>
      <c r="F4" s="84"/>
      <c r="G4" s="84"/>
      <c r="H4" s="84"/>
      <c r="I4" s="84"/>
      <c r="J4" s="116" t="s">
        <v>18</v>
      </c>
      <c r="K4" s="117"/>
      <c r="L4" s="117" t="s">
        <v>19</v>
      </c>
      <c r="M4" s="117"/>
      <c r="N4" s="117" t="s">
        <v>20</v>
      </c>
      <c r="O4" s="117"/>
      <c r="P4" s="118" t="s">
        <v>21</v>
      </c>
      <c r="Q4" s="132"/>
      <c r="R4" s="133">
        <v>0</v>
      </c>
      <c r="S4" s="133"/>
      <c r="T4" s="134">
        <f>CL13</f>
        <v>10</v>
      </c>
      <c r="U4" s="135"/>
      <c r="V4" s="136" t="s">
        <v>22</v>
      </c>
      <c r="W4" s="137"/>
      <c r="X4" s="138">
        <f>CL17</f>
        <v>4</v>
      </c>
      <c r="Y4" s="159"/>
      <c r="Z4" s="72"/>
      <c r="AA4" s="160">
        <v>0</v>
      </c>
      <c r="AB4" s="161"/>
      <c r="AC4" s="162" t="str">
        <f>IF(AA4="","",VLOOKUP(AA4,查询附表!$A:$B,2,0))</f>
        <v>无职</v>
      </c>
      <c r="AD4" s="162"/>
      <c r="AE4" s="163">
        <v>0</v>
      </c>
      <c r="AF4" s="164">
        <v>1</v>
      </c>
      <c r="AG4" s="213">
        <v>1</v>
      </c>
      <c r="AH4" s="214">
        <v>1</v>
      </c>
      <c r="AI4" s="86" t="s">
        <v>23</v>
      </c>
      <c r="AJ4" s="86"/>
      <c r="AK4" s="215">
        <v>0</v>
      </c>
      <c r="AL4" s="215"/>
      <c r="AM4" s="86" t="s">
        <v>24</v>
      </c>
      <c r="AN4" s="86"/>
      <c r="AO4" s="215">
        <v>0</v>
      </c>
      <c r="AP4" s="215"/>
      <c r="AQ4" s="220" t="s">
        <v>25</v>
      </c>
      <c r="AR4" s="220"/>
      <c r="AS4" s="221"/>
      <c r="AT4" s="222"/>
      <c r="AU4" s="223"/>
      <c r="AV4" s="223"/>
      <c r="AW4" s="242"/>
      <c r="AX4" s="242"/>
      <c r="AY4" s="242"/>
      <c r="AZ4" s="64"/>
      <c r="BA4" s="65"/>
      <c r="BB4" s="65"/>
      <c r="BC4" s="65"/>
      <c r="BD4" s="70"/>
      <c r="BE4" s="71"/>
      <c r="BF4" s="64"/>
      <c r="BG4" s="65"/>
      <c r="BH4" s="65"/>
      <c r="BI4" s="65"/>
      <c r="BJ4" s="70"/>
      <c r="BK4" s="71"/>
      <c r="BL4" s="64"/>
      <c r="BM4" s="65"/>
      <c r="BN4" s="65"/>
      <c r="BO4" s="65"/>
      <c r="BP4" s="70"/>
      <c r="BQ4" s="71"/>
      <c r="BR4" s="64"/>
      <c r="BS4" s="65"/>
      <c r="BT4" s="65"/>
      <c r="BU4" s="65"/>
      <c r="BV4" s="70"/>
      <c r="BW4" s="71"/>
      <c r="BX4" s="214"/>
      <c r="BY4" s="74" t="s">
        <v>26</v>
      </c>
      <c r="BZ4" s="75">
        <f>J5+N5</f>
        <v>0</v>
      </c>
      <c r="CB4" s="75">
        <v>-2</v>
      </c>
      <c r="CC4" s="74" t="s">
        <v>27</v>
      </c>
      <c r="CE4" s="267"/>
      <c r="CF4" s="267"/>
      <c r="CG4" s="267"/>
      <c r="CH4" s="266"/>
      <c r="CI4" s="266"/>
      <c r="CJ4" s="266"/>
      <c r="CK4" s="266"/>
      <c r="CL4" s="266"/>
      <c r="CM4" s="266"/>
      <c r="CN4" s="267"/>
      <c r="CO4" s="266"/>
      <c r="CP4" s="266"/>
      <c r="CQ4" s="266"/>
      <c r="CR4" s="266"/>
      <c r="CS4" s="77"/>
    </row>
    <row r="5" customHeight="1" spans="2:97">
      <c r="B5" s="85" t="s">
        <v>28</v>
      </c>
      <c r="C5" s="86"/>
      <c r="D5" s="87" t="s">
        <v>29</v>
      </c>
      <c r="E5" s="87"/>
      <c r="F5" s="87"/>
      <c r="G5" s="87"/>
      <c r="H5" s="87"/>
      <c r="I5" s="87"/>
      <c r="J5" s="119">
        <v>0</v>
      </c>
      <c r="K5" s="120"/>
      <c r="L5" s="120">
        <v>0</v>
      </c>
      <c r="M5" s="120"/>
      <c r="N5" s="120">
        <v>0</v>
      </c>
      <c r="O5" s="120"/>
      <c r="P5" s="121"/>
      <c r="Q5" s="139"/>
      <c r="R5" s="140"/>
      <c r="S5" s="140"/>
      <c r="T5" s="141"/>
      <c r="U5" s="142"/>
      <c r="V5" s="136" t="s">
        <v>30</v>
      </c>
      <c r="W5" s="137"/>
      <c r="X5" s="143">
        <f>CL18/100</f>
        <v>0.1</v>
      </c>
      <c r="Y5" s="165"/>
      <c r="Z5" s="72"/>
      <c r="AA5" s="128" t="str">
        <f>IF(AC4="","",VLOOKUP(AC4,查询附表!$B:$D,3,0))</f>
        <v>调整数字选择职业</v>
      </c>
      <c r="AB5" s="166"/>
      <c r="AC5" s="166"/>
      <c r="AD5" s="166"/>
      <c r="AE5" s="128" t="str">
        <f>IF(OR(AA4="",AA4=0),"",VLOOKUP(AA4,查询附表!$A:$E,5,0))</f>
        <v/>
      </c>
      <c r="AF5" s="166"/>
      <c r="AG5" s="166"/>
      <c r="AH5" s="166"/>
      <c r="AI5" s="166"/>
      <c r="AJ5" s="166"/>
      <c r="AK5" s="166"/>
      <c r="AL5" s="166"/>
      <c r="AM5" s="166"/>
      <c r="AN5" s="166"/>
      <c r="AO5" s="166"/>
      <c r="AP5" s="166"/>
      <c r="AQ5" s="166"/>
      <c r="AR5" s="166"/>
      <c r="AS5" s="166"/>
      <c r="AT5" s="166"/>
      <c r="AU5" s="166"/>
      <c r="AV5" s="166"/>
      <c r="AW5" s="166"/>
      <c r="AX5" s="166"/>
      <c r="AY5" s="166"/>
      <c r="AZ5" s="64"/>
      <c r="BA5" s="65"/>
      <c r="BB5" s="65"/>
      <c r="BC5" s="65"/>
      <c r="BD5" s="70"/>
      <c r="BE5" s="71"/>
      <c r="BF5" s="64"/>
      <c r="BG5" s="65"/>
      <c r="BH5" s="65"/>
      <c r="BI5" s="65"/>
      <c r="BJ5" s="70"/>
      <c r="BK5" s="71"/>
      <c r="BL5" s="64"/>
      <c r="BM5" s="65"/>
      <c r="BN5" s="65"/>
      <c r="BO5" s="65"/>
      <c r="BP5" s="70"/>
      <c r="BQ5" s="71"/>
      <c r="BR5" s="64"/>
      <c r="BS5" s="65"/>
      <c r="BT5" s="65"/>
      <c r="BU5" s="65"/>
      <c r="BV5" s="70"/>
      <c r="BW5" s="71"/>
      <c r="BY5" s="74" t="s">
        <v>31</v>
      </c>
      <c r="BZ5" s="75">
        <f>J5+J7</f>
        <v>0</v>
      </c>
      <c r="CB5" s="75">
        <v>-1</v>
      </c>
      <c r="CC5" s="74" t="s">
        <v>32</v>
      </c>
      <c r="CD5" s="268"/>
      <c r="CE5" s="267"/>
      <c r="CF5" s="266"/>
      <c r="CG5" s="266"/>
      <c r="CH5" s="266"/>
      <c r="CI5" s="266"/>
      <c r="CJ5" s="266"/>
      <c r="CK5" s="266"/>
      <c r="CL5" s="266"/>
      <c r="CM5" s="266"/>
      <c r="CN5" s="96"/>
      <c r="CO5" s="266"/>
      <c r="CP5" s="266"/>
      <c r="CQ5" s="266"/>
      <c r="CR5" s="266"/>
      <c r="CS5" s="77"/>
    </row>
    <row r="6" customHeight="1" spans="2:97">
      <c r="B6" s="85" t="s">
        <v>33</v>
      </c>
      <c r="C6" s="86"/>
      <c r="D6" s="88" t="s">
        <v>34</v>
      </c>
      <c r="E6" s="88"/>
      <c r="F6" s="88"/>
      <c r="G6" s="88"/>
      <c r="H6" s="88"/>
      <c r="I6" s="88"/>
      <c r="J6" s="85" t="s">
        <v>35</v>
      </c>
      <c r="K6" s="86"/>
      <c r="L6" s="86" t="s">
        <v>36</v>
      </c>
      <c r="M6" s="86"/>
      <c r="N6" s="86" t="s">
        <v>37</v>
      </c>
      <c r="O6" s="86"/>
      <c r="P6" s="122" t="str">
        <f>"恢复 "&amp;CL14</f>
        <v>恢复 1</v>
      </c>
      <c r="Q6" s="144"/>
      <c r="R6" s="145" t="str">
        <f>"防御 "&amp;CL20</f>
        <v>防御 0</v>
      </c>
      <c r="S6" s="145"/>
      <c r="T6" s="146" t="str">
        <f>"抗性 "&amp;CL22&amp;"%"</f>
        <v>抗性 0%</v>
      </c>
      <c r="U6" s="147"/>
      <c r="V6" s="136" t="s">
        <v>7</v>
      </c>
      <c r="W6" s="137"/>
      <c r="X6" s="148">
        <f>CC2</f>
        <v>-3</v>
      </c>
      <c r="Y6" s="167"/>
      <c r="Z6" s="72"/>
      <c r="AA6" s="168" t="s">
        <v>38</v>
      </c>
      <c r="AB6" s="168"/>
      <c r="AC6" s="169">
        <v>-1</v>
      </c>
      <c r="AD6" s="168" t="s">
        <v>39</v>
      </c>
      <c r="AE6" s="168"/>
      <c r="AF6" s="169">
        <v>-1</v>
      </c>
      <c r="AG6" s="168" t="s">
        <v>40</v>
      </c>
      <c r="AH6" s="168"/>
      <c r="AI6" s="169">
        <v>-1</v>
      </c>
      <c r="AJ6" s="168" t="s">
        <v>41</v>
      </c>
      <c r="AK6" s="168"/>
      <c r="AL6" s="169">
        <v>-1</v>
      </c>
      <c r="AM6" s="168" t="s">
        <v>42</v>
      </c>
      <c r="AN6" s="168"/>
      <c r="AO6" s="169">
        <v>-1</v>
      </c>
      <c r="AP6" s="168" t="s">
        <v>43</v>
      </c>
      <c r="AQ6" s="168"/>
      <c r="AR6" s="169">
        <v>-1</v>
      </c>
      <c r="AS6" s="168" t="s">
        <v>44</v>
      </c>
      <c r="AT6" s="168"/>
      <c r="AU6" s="169">
        <v>-1</v>
      </c>
      <c r="AV6" s="168" t="s">
        <v>45</v>
      </c>
      <c r="AW6" s="168"/>
      <c r="AX6" s="169">
        <v>-1</v>
      </c>
      <c r="AY6" s="169"/>
      <c r="AZ6" s="64"/>
      <c r="BA6" s="65"/>
      <c r="BB6" s="65"/>
      <c r="BC6" s="65"/>
      <c r="BD6" s="70"/>
      <c r="BE6" s="71"/>
      <c r="BF6" s="64"/>
      <c r="BG6" s="65"/>
      <c r="BH6" s="65"/>
      <c r="BI6" s="65"/>
      <c r="BJ6" s="70"/>
      <c r="BK6" s="71"/>
      <c r="BL6" s="64"/>
      <c r="BM6" s="65"/>
      <c r="BN6" s="65"/>
      <c r="BO6" s="65"/>
      <c r="BP6" s="70"/>
      <c r="BQ6" s="71"/>
      <c r="BR6" s="64"/>
      <c r="BS6" s="65"/>
      <c r="BT6" s="65"/>
      <c r="BU6" s="65"/>
      <c r="BV6" s="70"/>
      <c r="BW6" s="71"/>
      <c r="BY6" s="74" t="s">
        <v>46</v>
      </c>
      <c r="BZ6" s="75">
        <f>J5+L7</f>
        <v>0</v>
      </c>
      <c r="CB6" s="75">
        <v>0</v>
      </c>
      <c r="CC6" s="74" t="s">
        <v>47</v>
      </c>
      <c r="CD6" s="268"/>
      <c r="CE6" s="267"/>
      <c r="CF6" s="266"/>
      <c r="CG6" s="266"/>
      <c r="CH6" s="266"/>
      <c r="CI6" s="266"/>
      <c r="CJ6" s="266"/>
      <c r="CK6" s="266"/>
      <c r="CL6" s="266"/>
      <c r="CM6" s="266"/>
      <c r="CN6" s="96"/>
      <c r="CO6" s="266"/>
      <c r="CP6" s="266"/>
      <c r="CQ6" s="266"/>
      <c r="CR6" s="266"/>
      <c r="CS6" s="77"/>
    </row>
    <row r="7" customHeight="1" spans="2:97">
      <c r="B7" s="85" t="s">
        <v>48</v>
      </c>
      <c r="C7" s="86"/>
      <c r="D7" s="88" t="s">
        <v>49</v>
      </c>
      <c r="E7" s="88"/>
      <c r="F7" s="88"/>
      <c r="G7" s="88"/>
      <c r="H7" s="88"/>
      <c r="I7" s="88"/>
      <c r="J7" s="119">
        <v>0</v>
      </c>
      <c r="K7" s="120"/>
      <c r="L7" s="120">
        <v>0</v>
      </c>
      <c r="M7" s="120"/>
      <c r="N7" s="120">
        <v>0</v>
      </c>
      <c r="O7" s="120"/>
      <c r="P7" s="118" t="s">
        <v>50</v>
      </c>
      <c r="Q7" s="132"/>
      <c r="R7" s="133">
        <v>0</v>
      </c>
      <c r="S7" s="133"/>
      <c r="T7" s="134">
        <f>CL15</f>
        <v>10</v>
      </c>
      <c r="U7" s="135"/>
      <c r="V7" s="136" t="s">
        <v>8</v>
      </c>
      <c r="W7" s="137"/>
      <c r="X7" s="148">
        <f>CE2</f>
        <v>-3</v>
      </c>
      <c r="Y7" s="167"/>
      <c r="Z7" s="72"/>
      <c r="AA7" s="170" t="s">
        <v>51</v>
      </c>
      <c r="AB7" s="170"/>
      <c r="AC7" s="171">
        <v>-1</v>
      </c>
      <c r="AD7" s="170" t="s">
        <v>52</v>
      </c>
      <c r="AE7" s="170"/>
      <c r="AF7" s="171">
        <v>-1</v>
      </c>
      <c r="AG7" s="170" t="s">
        <v>53</v>
      </c>
      <c r="AH7" s="170"/>
      <c r="AI7" s="171">
        <v>-1</v>
      </c>
      <c r="AJ7" s="170" t="s">
        <v>54</v>
      </c>
      <c r="AK7" s="170"/>
      <c r="AL7" s="171">
        <v>-1</v>
      </c>
      <c r="AM7" s="170" t="s">
        <v>55</v>
      </c>
      <c r="AN7" s="170"/>
      <c r="AO7" s="171">
        <v>-1</v>
      </c>
      <c r="AP7" s="170" t="s">
        <v>56</v>
      </c>
      <c r="AQ7" s="170"/>
      <c r="AR7" s="171">
        <v>-1</v>
      </c>
      <c r="AS7" s="170" t="s">
        <v>57</v>
      </c>
      <c r="AT7" s="170"/>
      <c r="AU7" s="171">
        <v>-1</v>
      </c>
      <c r="AV7" s="170" t="s">
        <v>58</v>
      </c>
      <c r="AW7" s="170"/>
      <c r="AX7" s="171">
        <v>-1</v>
      </c>
      <c r="AY7" s="171"/>
      <c r="AZ7" s="64"/>
      <c r="BA7" s="65"/>
      <c r="BB7" s="65"/>
      <c r="BC7" s="65"/>
      <c r="BD7" s="70"/>
      <c r="BE7" s="71"/>
      <c r="BF7" s="64"/>
      <c r="BG7" s="65"/>
      <c r="BH7" s="65"/>
      <c r="BI7" s="65"/>
      <c r="BJ7" s="70"/>
      <c r="BK7" s="71"/>
      <c r="BL7" s="64"/>
      <c r="BM7" s="65"/>
      <c r="BN7" s="65"/>
      <c r="BO7" s="65"/>
      <c r="BP7" s="70"/>
      <c r="BQ7" s="71"/>
      <c r="BR7" s="64"/>
      <c r="BS7" s="65"/>
      <c r="BT7" s="65"/>
      <c r="BU7" s="65"/>
      <c r="BV7" s="70"/>
      <c r="BW7" s="71"/>
      <c r="BY7" s="74" t="s">
        <v>59</v>
      </c>
      <c r="BZ7" s="75">
        <f>J5+N7</f>
        <v>0</v>
      </c>
      <c r="CB7" s="75">
        <v>1</v>
      </c>
      <c r="CC7" s="74" t="s">
        <v>60</v>
      </c>
      <c r="CD7" s="268"/>
      <c r="CE7" s="267"/>
      <c r="CF7" s="266"/>
      <c r="CG7" s="266"/>
      <c r="CH7" s="266"/>
      <c r="CI7" s="266"/>
      <c r="CJ7" s="266"/>
      <c r="CK7" s="266"/>
      <c r="CL7" s="266"/>
      <c r="CM7" s="266"/>
      <c r="CN7" s="96"/>
      <c r="CO7" s="266"/>
      <c r="CP7" s="266"/>
      <c r="CQ7" s="266"/>
      <c r="CR7" s="266"/>
      <c r="CS7" s="77"/>
    </row>
    <row r="8" customHeight="1" spans="2:97">
      <c r="B8" s="85" t="s">
        <v>61</v>
      </c>
      <c r="C8" s="86"/>
      <c r="D8" s="88" t="s">
        <v>62</v>
      </c>
      <c r="E8" s="88"/>
      <c r="F8" s="88"/>
      <c r="G8" s="88"/>
      <c r="H8" s="88"/>
      <c r="I8" s="88"/>
      <c r="J8" s="85" t="s">
        <v>63</v>
      </c>
      <c r="K8" s="86"/>
      <c r="L8" s="86" t="s">
        <v>64</v>
      </c>
      <c r="M8" s="86"/>
      <c r="N8" s="86" t="s">
        <v>65</v>
      </c>
      <c r="O8" s="86"/>
      <c r="P8" s="121">
        <v>0</v>
      </c>
      <c r="Q8" s="139"/>
      <c r="R8" s="140"/>
      <c r="S8" s="140"/>
      <c r="T8" s="141"/>
      <c r="U8" s="142"/>
      <c r="V8" s="136" t="s">
        <v>66</v>
      </c>
      <c r="W8" s="137"/>
      <c r="X8" s="138" t="s">
        <v>67</v>
      </c>
      <c r="Y8" s="159"/>
      <c r="Z8" s="72"/>
      <c r="AA8" s="172" t="s">
        <v>68</v>
      </c>
      <c r="AB8" s="172"/>
      <c r="AC8" s="173">
        <v>-1</v>
      </c>
      <c r="AD8" s="172" t="s">
        <v>69</v>
      </c>
      <c r="AE8" s="172"/>
      <c r="AF8" s="173">
        <v>-1</v>
      </c>
      <c r="AG8" s="172" t="s">
        <v>70</v>
      </c>
      <c r="AH8" s="172"/>
      <c r="AI8" s="173">
        <v>-1</v>
      </c>
      <c r="AJ8" s="172" t="s">
        <v>71</v>
      </c>
      <c r="AK8" s="172"/>
      <c r="AL8" s="173">
        <v>-1</v>
      </c>
      <c r="AM8" s="172" t="s">
        <v>72</v>
      </c>
      <c r="AN8" s="172"/>
      <c r="AO8" s="173">
        <v>-1</v>
      </c>
      <c r="AP8" s="172" t="s">
        <v>73</v>
      </c>
      <c r="AQ8" s="172"/>
      <c r="AR8" s="173">
        <v>-1</v>
      </c>
      <c r="AS8" s="172" t="s">
        <v>74</v>
      </c>
      <c r="AT8" s="172"/>
      <c r="AU8" s="173">
        <v>-1</v>
      </c>
      <c r="AV8" s="172" t="s">
        <v>75</v>
      </c>
      <c r="AW8" s="172"/>
      <c r="AX8" s="173">
        <v>-1</v>
      </c>
      <c r="AY8" s="173"/>
      <c r="AZ8" s="64"/>
      <c r="BA8" s="65"/>
      <c r="BB8" s="65"/>
      <c r="BC8" s="65"/>
      <c r="BD8" s="70"/>
      <c r="BE8" s="71"/>
      <c r="BF8" s="64"/>
      <c r="BG8" s="65"/>
      <c r="BH8" s="65"/>
      <c r="BI8" s="65"/>
      <c r="BJ8" s="70"/>
      <c r="BK8" s="71"/>
      <c r="BL8" s="64"/>
      <c r="BM8" s="65"/>
      <c r="BN8" s="65"/>
      <c r="BO8" s="65"/>
      <c r="BP8" s="70"/>
      <c r="BQ8" s="71"/>
      <c r="BR8" s="64"/>
      <c r="BS8" s="65"/>
      <c r="BT8" s="65"/>
      <c r="BU8" s="65"/>
      <c r="BV8" s="70"/>
      <c r="BW8" s="71"/>
      <c r="BY8" s="74" t="s">
        <v>76</v>
      </c>
      <c r="BZ8" s="75">
        <f>J5+J9</f>
        <v>0</v>
      </c>
      <c r="CB8" s="75">
        <v>2</v>
      </c>
      <c r="CC8" s="74" t="s">
        <v>77</v>
      </c>
      <c r="CD8" s="268"/>
      <c r="CE8" s="267"/>
      <c r="CF8" s="266"/>
      <c r="CG8" s="266"/>
      <c r="CH8" s="266"/>
      <c r="CI8" s="266"/>
      <c r="CJ8" s="266"/>
      <c r="CK8" s="266"/>
      <c r="CL8" s="266"/>
      <c r="CM8" s="266"/>
      <c r="CN8" s="96"/>
      <c r="CO8" s="266"/>
      <c r="CP8" s="266"/>
      <c r="CQ8" s="266"/>
      <c r="CR8" s="266"/>
      <c r="CS8" s="77"/>
    </row>
    <row r="9" customHeight="1" spans="2:97">
      <c r="B9" s="89" t="s">
        <v>78</v>
      </c>
      <c r="C9" s="90"/>
      <c r="D9" s="91" t="s">
        <v>79</v>
      </c>
      <c r="E9" s="91"/>
      <c r="F9" s="91"/>
      <c r="G9" s="91"/>
      <c r="H9" s="91"/>
      <c r="I9" s="91"/>
      <c r="J9" s="123">
        <v>0</v>
      </c>
      <c r="K9" s="124"/>
      <c r="L9" s="124">
        <v>0</v>
      </c>
      <c r="M9" s="124"/>
      <c r="N9" s="124">
        <v>0</v>
      </c>
      <c r="O9" s="124"/>
      <c r="P9" s="122" t="str">
        <f>"恢复 "&amp;CL16</f>
        <v>恢复 1</v>
      </c>
      <c r="Q9" s="144"/>
      <c r="R9" s="145" t="str">
        <f>"防御 "&amp;CL21</f>
        <v>防御 0</v>
      </c>
      <c r="S9" s="145"/>
      <c r="T9" s="146" t="str">
        <f>"抗性 "&amp;CL23&amp;"%"</f>
        <v>抗性 0%</v>
      </c>
      <c r="U9" s="147"/>
      <c r="V9" s="136" t="s">
        <v>80</v>
      </c>
      <c r="W9" s="137"/>
      <c r="X9" s="138">
        <v>0</v>
      </c>
      <c r="Y9" s="159"/>
      <c r="Z9" s="72"/>
      <c r="AA9" s="172" t="s">
        <v>81</v>
      </c>
      <c r="AB9" s="172"/>
      <c r="AC9" s="173">
        <v>-1</v>
      </c>
      <c r="AD9" s="172" t="s">
        <v>82</v>
      </c>
      <c r="AE9" s="172"/>
      <c r="AF9" s="173">
        <v>-1</v>
      </c>
      <c r="AG9" s="172" t="s">
        <v>83</v>
      </c>
      <c r="AH9" s="172"/>
      <c r="AI9" s="173">
        <v>-1</v>
      </c>
      <c r="AJ9" s="172" t="s">
        <v>84</v>
      </c>
      <c r="AK9" s="172"/>
      <c r="AL9" s="173">
        <v>-1</v>
      </c>
      <c r="AM9" s="172" t="s">
        <v>85</v>
      </c>
      <c r="AN9" s="172"/>
      <c r="AO9" s="173">
        <v>-1</v>
      </c>
      <c r="AP9" s="172" t="s">
        <v>86</v>
      </c>
      <c r="AQ9" s="172"/>
      <c r="AR9" s="173">
        <v>-1</v>
      </c>
      <c r="AS9" s="172" t="s">
        <v>87</v>
      </c>
      <c r="AT9" s="172"/>
      <c r="AU9" s="173">
        <v>-1</v>
      </c>
      <c r="AV9" s="172" t="s">
        <v>88</v>
      </c>
      <c r="AW9" s="172"/>
      <c r="AX9" s="173">
        <v>-1</v>
      </c>
      <c r="AY9" s="173"/>
      <c r="AZ9" s="64"/>
      <c r="BA9" s="65"/>
      <c r="BB9" s="65"/>
      <c r="BC9" s="65"/>
      <c r="BD9" s="70"/>
      <c r="BE9" s="71"/>
      <c r="BF9" s="64"/>
      <c r="BG9" s="65"/>
      <c r="BH9" s="65"/>
      <c r="BI9" s="65"/>
      <c r="BJ9" s="70"/>
      <c r="BK9" s="71"/>
      <c r="BL9" s="64"/>
      <c r="BM9" s="65"/>
      <c r="BN9" s="65"/>
      <c r="BO9" s="65"/>
      <c r="BP9" s="70"/>
      <c r="BQ9" s="71"/>
      <c r="BR9" s="64"/>
      <c r="BS9" s="65"/>
      <c r="BT9" s="65"/>
      <c r="BU9" s="65"/>
      <c r="BV9" s="70"/>
      <c r="BW9" s="71"/>
      <c r="BY9" s="74" t="s">
        <v>89</v>
      </c>
      <c r="BZ9" s="75">
        <f>J5+L9</f>
        <v>0</v>
      </c>
      <c r="CB9" s="75">
        <v>3</v>
      </c>
      <c r="CC9" s="74" t="s">
        <v>90</v>
      </c>
      <c r="CD9" s="268"/>
      <c r="CE9" s="267"/>
      <c r="CF9" s="266"/>
      <c r="CG9" s="266"/>
      <c r="CH9" s="266"/>
      <c r="CI9" s="266"/>
      <c r="CJ9" s="266"/>
      <c r="CK9" s="266"/>
      <c r="CL9" s="266"/>
      <c r="CM9" s="266"/>
      <c r="CN9" s="96"/>
      <c r="CO9" s="266"/>
      <c r="CP9" s="266"/>
      <c r="CQ9" s="266"/>
      <c r="CR9" s="266"/>
      <c r="CS9" s="77"/>
    </row>
    <row r="10" customHeight="1" spans="1:97">
      <c r="A10" s="92"/>
      <c r="H10" s="93"/>
      <c r="I10" s="93"/>
      <c r="J10" s="93"/>
      <c r="K10" s="93"/>
      <c r="L10" s="125"/>
      <c r="M10" s="125"/>
      <c r="N10" s="126"/>
      <c r="O10" s="126"/>
      <c r="P10" s="126"/>
      <c r="Q10" s="126"/>
      <c r="R10" s="126"/>
      <c r="S10" s="126"/>
      <c r="T10" s="126"/>
      <c r="U10" s="93"/>
      <c r="V10" s="93"/>
      <c r="W10" s="93"/>
      <c r="X10" s="93"/>
      <c r="Y10" s="93"/>
      <c r="Z10" s="174"/>
      <c r="AA10" s="172" t="s">
        <v>91</v>
      </c>
      <c r="AB10" s="172"/>
      <c r="AC10" s="173">
        <v>-1</v>
      </c>
      <c r="AD10" s="172" t="s">
        <v>92</v>
      </c>
      <c r="AE10" s="172"/>
      <c r="AF10" s="173">
        <v>-1</v>
      </c>
      <c r="AG10" s="172" t="s">
        <v>93</v>
      </c>
      <c r="AH10" s="172"/>
      <c r="AI10" s="173">
        <v>-1</v>
      </c>
      <c r="AJ10" s="172" t="s">
        <v>94</v>
      </c>
      <c r="AK10" s="172"/>
      <c r="AL10" s="173">
        <v>-1</v>
      </c>
      <c r="AM10" s="172" t="s">
        <v>95</v>
      </c>
      <c r="AN10" s="172"/>
      <c r="AO10" s="173">
        <v>-1</v>
      </c>
      <c r="AP10" s="172" t="s">
        <v>96</v>
      </c>
      <c r="AQ10" s="172"/>
      <c r="AR10" s="173">
        <v>-1</v>
      </c>
      <c r="AS10" s="172" t="s">
        <v>97</v>
      </c>
      <c r="AT10" s="172"/>
      <c r="AU10" s="173">
        <v>-1</v>
      </c>
      <c r="AV10" s="172" t="s">
        <v>98</v>
      </c>
      <c r="AW10" s="172"/>
      <c r="AX10" s="173">
        <v>-1</v>
      </c>
      <c r="AY10" s="173"/>
      <c r="AZ10" s="64"/>
      <c r="BA10" s="65"/>
      <c r="BB10" s="65"/>
      <c r="BC10" s="65"/>
      <c r="BD10" s="70"/>
      <c r="BE10" s="71"/>
      <c r="BF10" s="64"/>
      <c r="BG10" s="65"/>
      <c r="BH10" s="65"/>
      <c r="BI10" s="65"/>
      <c r="BJ10" s="70"/>
      <c r="BK10" s="71"/>
      <c r="BL10" s="64"/>
      <c r="BM10" s="65"/>
      <c r="BN10" s="65"/>
      <c r="BO10" s="65"/>
      <c r="BP10" s="70"/>
      <c r="BQ10" s="71"/>
      <c r="BR10" s="64"/>
      <c r="BS10" s="65"/>
      <c r="BT10" s="65"/>
      <c r="BU10" s="65"/>
      <c r="BV10" s="70"/>
      <c r="BW10" s="71"/>
      <c r="BY10" s="74" t="s">
        <v>99</v>
      </c>
      <c r="BZ10" s="75">
        <f>L5+N5</f>
        <v>0</v>
      </c>
      <c r="CD10" s="268"/>
      <c r="CO10" s="77"/>
      <c r="CP10" s="77"/>
      <c r="CQ10" s="77"/>
      <c r="CR10" s="77"/>
      <c r="CS10" s="77"/>
    </row>
    <row r="11" customHeight="1" spans="1:97">
      <c r="A11" s="92"/>
      <c r="B11" s="94" t="s">
        <v>100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174"/>
      <c r="AA11" s="172" t="s">
        <v>101</v>
      </c>
      <c r="AB11" s="172"/>
      <c r="AC11" s="173">
        <v>-1</v>
      </c>
      <c r="AD11" s="172" t="s">
        <v>102</v>
      </c>
      <c r="AE11" s="172"/>
      <c r="AF11" s="173">
        <v>-1</v>
      </c>
      <c r="AG11" s="172" t="s">
        <v>103</v>
      </c>
      <c r="AH11" s="172"/>
      <c r="AI11" s="173">
        <v>-1</v>
      </c>
      <c r="AJ11" s="172" t="s">
        <v>104</v>
      </c>
      <c r="AK11" s="172"/>
      <c r="AL11" s="173">
        <v>-1</v>
      </c>
      <c r="AM11" s="172" t="s">
        <v>105</v>
      </c>
      <c r="AN11" s="172"/>
      <c r="AO11" s="173">
        <v>-1</v>
      </c>
      <c r="AP11" s="172" t="s">
        <v>106</v>
      </c>
      <c r="AQ11" s="172"/>
      <c r="AR11" s="173">
        <v>-1</v>
      </c>
      <c r="AS11" s="172" t="s">
        <v>107</v>
      </c>
      <c r="AT11" s="172"/>
      <c r="AU11" s="173">
        <v>-1</v>
      </c>
      <c r="AV11" s="172" t="s">
        <v>108</v>
      </c>
      <c r="AW11" s="172"/>
      <c r="AX11" s="173">
        <v>-1</v>
      </c>
      <c r="AY11" s="173"/>
      <c r="AZ11" s="64"/>
      <c r="BA11" s="65"/>
      <c r="BB11" s="65"/>
      <c r="BC11" s="65"/>
      <c r="BD11" s="70"/>
      <c r="BE11" s="71"/>
      <c r="BF11" s="64"/>
      <c r="BG11" s="65"/>
      <c r="BH11" s="65"/>
      <c r="BI11" s="65"/>
      <c r="BJ11" s="70"/>
      <c r="BK11" s="71"/>
      <c r="BL11" s="64"/>
      <c r="BM11" s="65"/>
      <c r="BN11" s="65"/>
      <c r="BO11" s="65"/>
      <c r="BP11" s="70"/>
      <c r="BQ11" s="71"/>
      <c r="BR11" s="64"/>
      <c r="BS11" s="65"/>
      <c r="BT11" s="65"/>
      <c r="BU11" s="65"/>
      <c r="BV11" s="70"/>
      <c r="BW11" s="71"/>
      <c r="BY11" s="74" t="s">
        <v>109</v>
      </c>
      <c r="BZ11" s="75">
        <f>L5+J7</f>
        <v>0</v>
      </c>
      <c r="CC11" s="75" t="s">
        <v>110</v>
      </c>
      <c r="CF11" s="77" t="s">
        <v>111</v>
      </c>
      <c r="CI11" s="77" t="s">
        <v>112</v>
      </c>
      <c r="CL11" s="77" t="s">
        <v>113</v>
      </c>
      <c r="CO11" s="77"/>
      <c r="CP11" s="77"/>
      <c r="CQ11" s="77"/>
      <c r="CR11" s="77"/>
      <c r="CS11" s="77"/>
    </row>
    <row r="12" customHeight="1" spans="1:97">
      <c r="A12" s="92"/>
      <c r="B12" s="95"/>
      <c r="C12" s="95"/>
      <c r="D12" s="95"/>
      <c r="E12" s="95"/>
      <c r="F12" s="95"/>
      <c r="G12" s="95"/>
      <c r="H12" s="93"/>
      <c r="I12" s="93"/>
      <c r="J12" s="93"/>
      <c r="K12" s="93"/>
      <c r="L12" s="125"/>
      <c r="M12" s="125"/>
      <c r="N12" s="126"/>
      <c r="O12" s="126"/>
      <c r="P12" s="126"/>
      <c r="Q12" s="126"/>
      <c r="R12" s="126"/>
      <c r="S12" s="126"/>
      <c r="T12" s="126"/>
      <c r="U12" s="93"/>
      <c r="V12" s="93"/>
      <c r="W12" s="93"/>
      <c r="X12" s="93"/>
      <c r="Y12" s="93"/>
      <c r="Z12" s="174"/>
      <c r="AA12" s="175" t="s">
        <v>114</v>
      </c>
      <c r="AB12" s="175"/>
      <c r="AC12" s="176">
        <v>-1</v>
      </c>
      <c r="AD12" s="175" t="s">
        <v>115</v>
      </c>
      <c r="AE12" s="175"/>
      <c r="AF12" s="176">
        <v>-1</v>
      </c>
      <c r="AG12" s="175" t="s">
        <v>116</v>
      </c>
      <c r="AH12" s="175"/>
      <c r="AI12" s="176">
        <v>-1</v>
      </c>
      <c r="AJ12" s="175" t="s">
        <v>117</v>
      </c>
      <c r="AK12" s="175"/>
      <c r="AL12" s="176">
        <v>-1</v>
      </c>
      <c r="AM12" s="175" t="s">
        <v>118</v>
      </c>
      <c r="AN12" s="175"/>
      <c r="AO12" s="176">
        <v>-1</v>
      </c>
      <c r="AP12" s="175" t="s">
        <v>119</v>
      </c>
      <c r="AQ12" s="175"/>
      <c r="AR12" s="176">
        <v>-1</v>
      </c>
      <c r="AS12" s="175" t="s">
        <v>120</v>
      </c>
      <c r="AT12" s="175"/>
      <c r="AU12" s="176">
        <v>-1</v>
      </c>
      <c r="AV12" s="175" t="s">
        <v>121</v>
      </c>
      <c r="AW12" s="175"/>
      <c r="AX12" s="176">
        <v>-1</v>
      </c>
      <c r="AY12" s="173"/>
      <c r="AZ12" s="64"/>
      <c r="BA12" s="65"/>
      <c r="BB12" s="65"/>
      <c r="BC12" s="65"/>
      <c r="BD12" s="70"/>
      <c r="BE12" s="71"/>
      <c r="BF12" s="64"/>
      <c r="BG12" s="65"/>
      <c r="BH12" s="65"/>
      <c r="BI12" s="65"/>
      <c r="BJ12" s="70"/>
      <c r="BK12" s="71"/>
      <c r="BL12" s="64"/>
      <c r="BM12" s="65"/>
      <c r="BN12" s="65"/>
      <c r="BO12" s="65"/>
      <c r="BP12" s="70"/>
      <c r="BQ12" s="71"/>
      <c r="BR12" s="64"/>
      <c r="BS12" s="65"/>
      <c r="BT12" s="65"/>
      <c r="BU12" s="65"/>
      <c r="BV12" s="70"/>
      <c r="BW12" s="71"/>
      <c r="BY12" s="74" t="s">
        <v>122</v>
      </c>
      <c r="BZ12" s="75">
        <f>L5+L7</f>
        <v>0</v>
      </c>
      <c r="CB12" s="75" t="s">
        <v>123</v>
      </c>
      <c r="CC12" s="75" t="s">
        <v>124</v>
      </c>
      <c r="CF12" s="77" t="s">
        <v>125</v>
      </c>
      <c r="CO12" s="77"/>
      <c r="CP12" s="77"/>
      <c r="CQ12" s="77"/>
      <c r="CR12" s="77"/>
      <c r="CS12" s="77"/>
    </row>
    <row r="13" customHeight="1" spans="1:97">
      <c r="A13" s="92"/>
      <c r="B13" s="53" t="s">
        <v>126</v>
      </c>
      <c r="C13" s="54">
        <v>0</v>
      </c>
      <c r="D13" s="55" t="s">
        <v>127</v>
      </c>
      <c r="E13" s="56"/>
      <c r="F13" s="56"/>
      <c r="G13" s="56"/>
      <c r="H13" s="53" t="s">
        <v>128</v>
      </c>
      <c r="I13" s="54">
        <v>0</v>
      </c>
      <c r="J13" s="55"/>
      <c r="K13" s="56"/>
      <c r="L13" s="56"/>
      <c r="M13" s="56"/>
      <c r="N13" s="53" t="s">
        <v>128</v>
      </c>
      <c r="O13" s="54">
        <v>0</v>
      </c>
      <c r="P13" s="55"/>
      <c r="Q13" s="56"/>
      <c r="R13" s="56"/>
      <c r="S13" s="56"/>
      <c r="T13" s="82" t="s">
        <v>129</v>
      </c>
      <c r="U13" s="149"/>
      <c r="V13" s="150" t="s">
        <v>130</v>
      </c>
      <c r="W13" s="151"/>
      <c r="X13" s="151"/>
      <c r="Y13" s="177"/>
      <c r="Z13" s="178"/>
      <c r="AA13" s="139" t="s">
        <v>131</v>
      </c>
      <c r="AB13" s="139"/>
      <c r="AC13" s="179">
        <f>INT(SUM(AC6:AC12,2)/5)</f>
        <v>-1</v>
      </c>
      <c r="AD13" s="139" t="s">
        <v>132</v>
      </c>
      <c r="AE13" s="139"/>
      <c r="AF13" s="179">
        <f>INT(SUM(AF6:AF12,2)/5)</f>
        <v>-1</v>
      </c>
      <c r="AG13" s="139" t="s">
        <v>133</v>
      </c>
      <c r="AH13" s="139"/>
      <c r="AI13" s="179">
        <f>INT(SUM(AI6:AI12,2)/5)</f>
        <v>-1</v>
      </c>
      <c r="AJ13" s="139" t="s">
        <v>134</v>
      </c>
      <c r="AK13" s="139"/>
      <c r="AL13" s="179">
        <f>INT(SUM(AL6:AL12,2)/5)</f>
        <v>-1</v>
      </c>
      <c r="AM13" s="139" t="s">
        <v>135</v>
      </c>
      <c r="AN13" s="139"/>
      <c r="AO13" s="179">
        <f>INT(SUM(AO6:AO12,2)/5)</f>
        <v>-1</v>
      </c>
      <c r="AP13" s="139" t="s">
        <v>136</v>
      </c>
      <c r="AQ13" s="139"/>
      <c r="AR13" s="179">
        <f>INT(SUM(AR6:AR12,2)/5)</f>
        <v>-1</v>
      </c>
      <c r="AS13" s="139" t="s">
        <v>137</v>
      </c>
      <c r="AT13" s="139"/>
      <c r="AU13" s="179">
        <f>INT(SUM(AU6:AU12,2)/5)</f>
        <v>-1</v>
      </c>
      <c r="AV13" s="139" t="s">
        <v>138</v>
      </c>
      <c r="AW13" s="139"/>
      <c r="AX13" s="179">
        <f>INT(SUM(AX6:AX12,2)/5)</f>
        <v>-1</v>
      </c>
      <c r="AY13" s="243"/>
      <c r="AZ13" s="64"/>
      <c r="BA13" s="65"/>
      <c r="BB13" s="65"/>
      <c r="BC13" s="65"/>
      <c r="BD13" s="70"/>
      <c r="BE13" s="71"/>
      <c r="BF13" s="64"/>
      <c r="BG13" s="65"/>
      <c r="BH13" s="65"/>
      <c r="BI13" s="65"/>
      <c r="BJ13" s="70"/>
      <c r="BK13" s="71"/>
      <c r="BL13" s="64"/>
      <c r="BM13" s="65"/>
      <c r="BN13" s="65"/>
      <c r="BO13" s="65"/>
      <c r="BP13" s="70"/>
      <c r="BQ13" s="71"/>
      <c r="BR13" s="64"/>
      <c r="BS13" s="65"/>
      <c r="BT13" s="65"/>
      <c r="BU13" s="65"/>
      <c r="BV13" s="70"/>
      <c r="BW13" s="71"/>
      <c r="BY13" s="74" t="s">
        <v>139</v>
      </c>
      <c r="BZ13" s="75">
        <f>L5+N7</f>
        <v>0</v>
      </c>
      <c r="CB13" s="75" t="s">
        <v>21</v>
      </c>
      <c r="CC13" s="75">
        <f>L5*2+N5+10</f>
        <v>10</v>
      </c>
      <c r="CF13" s="269">
        <v>1</v>
      </c>
      <c r="CG13" s="269">
        <v>1</v>
      </c>
      <c r="CH13" s="269">
        <v>1</v>
      </c>
      <c r="CL13" s="269">
        <f t="shared" ref="CL13:CL18" si="0">SUM(CC13:CE13)*SUMPRODUCT(CF13,CG13,CH13)+SUM(CI13:CK13)</f>
        <v>10</v>
      </c>
      <c r="CO13" s="77"/>
      <c r="CP13" s="77"/>
      <c r="CQ13" s="77"/>
      <c r="CR13" s="77"/>
      <c r="CS13" s="77"/>
    </row>
    <row r="14" customHeight="1" spans="1:97">
      <c r="A14" s="92"/>
      <c r="B14" s="57" t="s">
        <v>140</v>
      </c>
      <c r="C14" s="58"/>
      <c r="D14" s="59"/>
      <c r="E14" s="59"/>
      <c r="F14" s="59"/>
      <c r="G14" s="67"/>
      <c r="H14" s="57"/>
      <c r="I14" s="58"/>
      <c r="J14" s="59"/>
      <c r="K14" s="59"/>
      <c r="L14" s="59"/>
      <c r="M14" s="67"/>
      <c r="N14" s="57"/>
      <c r="O14" s="58"/>
      <c r="P14" s="59"/>
      <c r="Q14" s="59"/>
      <c r="R14" s="59"/>
      <c r="S14" s="59"/>
      <c r="T14" s="64" t="s">
        <v>141</v>
      </c>
      <c r="U14" s="65"/>
      <c r="V14" s="65"/>
      <c r="W14" s="65"/>
      <c r="X14" s="70">
        <v>1</v>
      </c>
      <c r="Y14" s="71">
        <v>0</v>
      </c>
      <c r="Z14" s="72"/>
      <c r="AA14" s="180"/>
      <c r="AB14" s="180"/>
      <c r="BY14" s="74" t="s">
        <v>142</v>
      </c>
      <c r="BZ14" s="75">
        <f>L5+J9</f>
        <v>0</v>
      </c>
      <c r="CB14" s="75" t="s">
        <v>143</v>
      </c>
      <c r="CC14" s="75">
        <f>INT(L5/3)+1</f>
        <v>1</v>
      </c>
      <c r="CF14" s="269">
        <v>1</v>
      </c>
      <c r="CG14" s="269">
        <v>1</v>
      </c>
      <c r="CH14" s="269">
        <v>1</v>
      </c>
      <c r="CL14" s="269">
        <f t="shared" si="0"/>
        <v>1</v>
      </c>
      <c r="CO14" s="77"/>
      <c r="CP14" s="77"/>
      <c r="CQ14" s="77"/>
      <c r="CR14" s="77"/>
      <c r="CS14" s="77"/>
    </row>
    <row r="15" customHeight="1" spans="1:97">
      <c r="A15" s="92"/>
      <c r="B15" s="57"/>
      <c r="C15" s="58"/>
      <c r="D15" s="58"/>
      <c r="E15" s="58"/>
      <c r="F15" s="58"/>
      <c r="G15" s="68"/>
      <c r="H15" s="57"/>
      <c r="I15" s="58"/>
      <c r="J15" s="58"/>
      <c r="K15" s="58"/>
      <c r="L15" s="58"/>
      <c r="M15" s="68"/>
      <c r="N15" s="57"/>
      <c r="O15" s="58"/>
      <c r="P15" s="58"/>
      <c r="Q15" s="58"/>
      <c r="R15" s="58"/>
      <c r="S15" s="68"/>
      <c r="T15" s="64"/>
      <c r="U15" s="65"/>
      <c r="V15" s="65"/>
      <c r="W15" s="65"/>
      <c r="X15" s="70"/>
      <c r="Y15" s="71"/>
      <c r="Z15" s="92"/>
      <c r="AA15" s="79" t="s">
        <v>144</v>
      </c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218" t="s">
        <v>145</v>
      </c>
      <c r="AT15" s="218"/>
      <c r="AU15" s="219">
        <f>AW15-SUM(AA25:AX32)</f>
        <v>0</v>
      </c>
      <c r="AV15" s="219"/>
      <c r="AW15" s="237">
        <f>CL26</f>
        <v>0</v>
      </c>
      <c r="AX15" s="237"/>
      <c r="AY15" s="244"/>
      <c r="AZ15" s="79" t="s">
        <v>146</v>
      </c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 t="s">
        <v>147</v>
      </c>
      <c r="BS15" s="79"/>
      <c r="BT15" s="79"/>
      <c r="BU15" s="79"/>
      <c r="BV15" s="79"/>
      <c r="BW15" s="79"/>
      <c r="BY15" s="74" t="s">
        <v>148</v>
      </c>
      <c r="BZ15" s="75">
        <f>L5+L9</f>
        <v>0</v>
      </c>
      <c r="CB15" s="75" t="s">
        <v>50</v>
      </c>
      <c r="CC15" s="75">
        <f>N7+J9+10</f>
        <v>10</v>
      </c>
      <c r="CE15" s="270"/>
      <c r="CF15" s="269">
        <v>1</v>
      </c>
      <c r="CG15" s="269">
        <v>1</v>
      </c>
      <c r="CH15" s="269">
        <v>1</v>
      </c>
      <c r="CL15" s="269">
        <f t="shared" si="0"/>
        <v>10</v>
      </c>
      <c r="CO15" s="77"/>
      <c r="CP15" s="77"/>
      <c r="CQ15" s="77"/>
      <c r="CR15" s="77"/>
      <c r="CS15" s="77"/>
    </row>
    <row r="16" customHeight="1" spans="1:97">
      <c r="A16" s="92"/>
      <c r="B16" s="60"/>
      <c r="C16" s="61"/>
      <c r="D16" s="61"/>
      <c r="E16" s="61"/>
      <c r="F16" s="61"/>
      <c r="G16" s="69"/>
      <c r="H16" s="60"/>
      <c r="I16" s="61"/>
      <c r="J16" s="61"/>
      <c r="K16" s="61"/>
      <c r="L16" s="61"/>
      <c r="M16" s="69"/>
      <c r="N16" s="60"/>
      <c r="O16" s="61"/>
      <c r="P16" s="61"/>
      <c r="Q16" s="61"/>
      <c r="R16" s="61"/>
      <c r="S16" s="69"/>
      <c r="T16" s="64"/>
      <c r="U16" s="65"/>
      <c r="V16" s="65"/>
      <c r="W16" s="65"/>
      <c r="X16" s="70"/>
      <c r="Y16" s="71"/>
      <c r="AA16" s="181"/>
      <c r="AB16" s="181"/>
      <c r="AC16" s="181"/>
      <c r="AD16" s="181"/>
      <c r="AE16" s="181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  <c r="AR16" s="181"/>
      <c r="AS16" s="181"/>
      <c r="AT16" s="181"/>
      <c r="AU16" s="181"/>
      <c r="AV16" s="181"/>
      <c r="AW16" s="188"/>
      <c r="AX16" s="188"/>
      <c r="AY16" s="245"/>
      <c r="AZ16" s="181"/>
      <c r="BA16" s="181"/>
      <c r="BB16" s="181"/>
      <c r="BC16" s="181"/>
      <c r="BD16" s="181"/>
      <c r="BE16" s="181"/>
      <c r="BF16" s="181"/>
      <c r="BG16" s="181"/>
      <c r="BH16" s="181"/>
      <c r="BI16" s="181"/>
      <c r="BJ16" s="181"/>
      <c r="BK16" s="181"/>
      <c r="BL16" s="181"/>
      <c r="BM16" s="181"/>
      <c r="BN16" s="181"/>
      <c r="BO16" s="181"/>
      <c r="BP16" s="181"/>
      <c r="BQ16" s="181"/>
      <c r="BR16" s="181"/>
      <c r="BS16" s="181"/>
      <c r="BT16" s="181"/>
      <c r="BU16" s="181"/>
      <c r="BV16" s="181"/>
      <c r="BW16" s="181"/>
      <c r="BY16" s="74" t="s">
        <v>149</v>
      </c>
      <c r="BZ16" s="75">
        <f>N5+J7</f>
        <v>0</v>
      </c>
      <c r="CB16" s="75" t="s">
        <v>143</v>
      </c>
      <c r="CC16" s="75">
        <f>INT(J9/3)+1</f>
        <v>1</v>
      </c>
      <c r="CE16" s="270"/>
      <c r="CF16" s="269">
        <v>1</v>
      </c>
      <c r="CG16" s="269">
        <v>1</v>
      </c>
      <c r="CH16" s="269">
        <v>1</v>
      </c>
      <c r="CL16" s="269">
        <f t="shared" si="0"/>
        <v>1</v>
      </c>
      <c r="CO16" s="77"/>
      <c r="CP16" s="77"/>
      <c r="CQ16" s="77"/>
      <c r="CR16" s="77"/>
      <c r="CS16" s="77"/>
    </row>
    <row r="17" customHeight="1" spans="1:97">
      <c r="A17" s="92"/>
      <c r="B17" s="53" t="s">
        <v>150</v>
      </c>
      <c r="C17" s="54">
        <v>0</v>
      </c>
      <c r="D17" s="55"/>
      <c r="E17" s="56"/>
      <c r="F17" s="56"/>
      <c r="G17" s="56"/>
      <c r="H17" s="53" t="s">
        <v>151</v>
      </c>
      <c r="I17" s="54">
        <v>0</v>
      </c>
      <c r="J17" s="55"/>
      <c r="K17" s="56"/>
      <c r="L17" s="56"/>
      <c r="M17" s="56"/>
      <c r="N17" s="53" t="s">
        <v>152</v>
      </c>
      <c r="O17" s="54">
        <v>0</v>
      </c>
      <c r="P17" s="55"/>
      <c r="Q17" s="56"/>
      <c r="R17" s="56"/>
      <c r="S17" s="56"/>
      <c r="T17" s="64"/>
      <c r="U17" s="65"/>
      <c r="V17" s="65"/>
      <c r="W17" s="65"/>
      <c r="X17" s="70"/>
      <c r="Y17" s="71"/>
      <c r="AA17" s="44" t="s">
        <v>153</v>
      </c>
      <c r="AB17" s="44"/>
      <c r="AC17" s="182" t="s">
        <v>154</v>
      </c>
      <c r="AD17" s="182"/>
      <c r="AE17" s="182"/>
      <c r="AF17" s="182"/>
      <c r="AG17" s="44" t="s">
        <v>97</v>
      </c>
      <c r="AH17" s="44"/>
      <c r="AI17" s="182" t="s">
        <v>155</v>
      </c>
      <c r="AJ17" s="182"/>
      <c r="AK17" s="182"/>
      <c r="AL17" s="182"/>
      <c r="AM17" s="44" t="s">
        <v>156</v>
      </c>
      <c r="AN17" s="44"/>
      <c r="AO17" s="182" t="s">
        <v>157</v>
      </c>
      <c r="AP17" s="182"/>
      <c r="AQ17" s="182"/>
      <c r="AR17" s="182"/>
      <c r="AS17" s="224" t="s">
        <v>158</v>
      </c>
      <c r="AT17" s="224"/>
      <c r="AU17" s="225" t="s">
        <v>159</v>
      </c>
      <c r="AV17" s="225"/>
      <c r="AW17" s="225"/>
      <c r="AX17" s="225"/>
      <c r="AY17" s="246"/>
      <c r="AZ17" s="206" t="s">
        <v>160</v>
      </c>
      <c r="BA17" s="207"/>
      <c r="BB17" s="207"/>
      <c r="BC17" s="207"/>
      <c r="BD17" s="247" t="s">
        <v>161</v>
      </c>
      <c r="BE17" s="259"/>
      <c r="BF17" s="259"/>
      <c r="BG17" s="259"/>
      <c r="BH17" s="259"/>
      <c r="BI17" s="259"/>
      <c r="BJ17" s="259"/>
      <c r="BK17" s="259"/>
      <c r="BL17" s="259"/>
      <c r="BM17" s="259"/>
      <c r="BN17" s="259"/>
      <c r="BO17" s="259"/>
      <c r="BP17" s="259"/>
      <c r="BQ17" s="262"/>
      <c r="BR17" s="232"/>
      <c r="BS17" s="233"/>
      <c r="BT17" s="233"/>
      <c r="BU17" s="233"/>
      <c r="BV17" s="233"/>
      <c r="BW17" s="256"/>
      <c r="BY17" s="74" t="s">
        <v>162</v>
      </c>
      <c r="BZ17" s="75">
        <f>N5+L7</f>
        <v>0</v>
      </c>
      <c r="CB17" s="75" t="s">
        <v>22</v>
      </c>
      <c r="CC17" s="75">
        <f>INT((L9*2+N5)/3+4)</f>
        <v>4</v>
      </c>
      <c r="CE17" s="270"/>
      <c r="CF17" s="269">
        <v>1</v>
      </c>
      <c r="CG17" s="269">
        <v>1</v>
      </c>
      <c r="CH17" s="269">
        <v>1</v>
      </c>
      <c r="CL17" s="269">
        <f t="shared" si="0"/>
        <v>4</v>
      </c>
      <c r="CO17" s="77"/>
      <c r="CP17" s="77"/>
      <c r="CQ17" s="77"/>
      <c r="CR17" s="77"/>
      <c r="CS17" s="77"/>
    </row>
    <row r="18" customHeight="1" spans="1:97">
      <c r="A18" s="92"/>
      <c r="B18" s="57"/>
      <c r="C18" s="58"/>
      <c r="D18" s="59"/>
      <c r="E18" s="59"/>
      <c r="F18" s="59"/>
      <c r="G18" s="67"/>
      <c r="H18" s="57"/>
      <c r="I18" s="58"/>
      <c r="J18" s="59"/>
      <c r="K18" s="59"/>
      <c r="L18" s="59"/>
      <c r="M18" s="67"/>
      <c r="N18" s="57"/>
      <c r="O18" s="58"/>
      <c r="P18" s="59"/>
      <c r="Q18" s="59"/>
      <c r="R18" s="59"/>
      <c r="S18" s="67"/>
      <c r="T18" s="64"/>
      <c r="U18" s="65"/>
      <c r="V18" s="65"/>
      <c r="W18" s="65"/>
      <c r="X18" s="70"/>
      <c r="Y18" s="71"/>
      <c r="AA18" s="183" t="str">
        <f>VLOOKUP(AC17,查询附表!W1:X10,2,0)</f>
        <v>请选择阵营</v>
      </c>
      <c r="AB18" s="183"/>
      <c r="AC18" s="183"/>
      <c r="AD18" s="183"/>
      <c r="AE18" s="183"/>
      <c r="AF18" s="183"/>
      <c r="AG18" s="183" t="str">
        <f>VLOOKUP(AI17,查询附表!$AC:$AD,2,0)</f>
        <v>你目前不属于任何一个教会</v>
      </c>
      <c r="AH18" s="183"/>
      <c r="AI18" s="183"/>
      <c r="AJ18" s="183"/>
      <c r="AK18" s="183"/>
      <c r="AL18" s="183"/>
      <c r="AM18" s="183" t="str">
        <f>VLOOKUP(AO17,查询附表!$Z1:$AA4,2,0)</f>
        <v>请选择倾向</v>
      </c>
      <c r="AN18" s="183"/>
      <c r="AO18" s="183"/>
      <c r="AP18" s="183"/>
      <c r="AQ18" s="183"/>
      <c r="AR18" s="226"/>
      <c r="AS18" s="184"/>
      <c r="AT18" s="185"/>
      <c r="AU18" s="185"/>
      <c r="AV18" s="185"/>
      <c r="AW18" s="185"/>
      <c r="AX18" s="186"/>
      <c r="AY18" s="245"/>
      <c r="AZ18" s="207"/>
      <c r="BA18" s="207"/>
      <c r="BB18" s="207"/>
      <c r="BC18" s="207"/>
      <c r="BD18" s="248"/>
      <c r="BE18" s="260"/>
      <c r="BF18" s="260"/>
      <c r="BG18" s="260"/>
      <c r="BH18" s="260"/>
      <c r="BI18" s="260"/>
      <c r="BJ18" s="260"/>
      <c r="BK18" s="260"/>
      <c r="BL18" s="260"/>
      <c r="BM18" s="260"/>
      <c r="BN18" s="260"/>
      <c r="BO18" s="260"/>
      <c r="BP18" s="260"/>
      <c r="BQ18" s="263"/>
      <c r="BR18" s="235"/>
      <c r="BS18" s="236"/>
      <c r="BT18" s="236"/>
      <c r="BU18" s="236"/>
      <c r="BV18" s="236"/>
      <c r="BW18" s="257"/>
      <c r="BY18" s="74" t="s">
        <v>163</v>
      </c>
      <c r="BZ18" s="75">
        <f>N5+N7</f>
        <v>0</v>
      </c>
      <c r="CB18" s="75" t="s">
        <v>164</v>
      </c>
      <c r="CC18" s="271">
        <f>10+L9</f>
        <v>10</v>
      </c>
      <c r="CF18" s="269">
        <v>1</v>
      </c>
      <c r="CG18" s="269">
        <v>1</v>
      </c>
      <c r="CH18" s="269">
        <v>1</v>
      </c>
      <c r="CL18" s="269">
        <f t="shared" si="0"/>
        <v>10</v>
      </c>
      <c r="CO18" s="77"/>
      <c r="CP18" s="77"/>
      <c r="CQ18" s="77"/>
      <c r="CR18" s="77"/>
      <c r="CS18" s="77"/>
    </row>
    <row r="19" customHeight="1" spans="2:97">
      <c r="B19" s="57"/>
      <c r="C19" s="58"/>
      <c r="D19" s="58"/>
      <c r="E19" s="58"/>
      <c r="F19" s="58"/>
      <c r="G19" s="68"/>
      <c r="H19" s="57"/>
      <c r="I19" s="58"/>
      <c r="J19" s="58"/>
      <c r="K19" s="58"/>
      <c r="L19" s="58"/>
      <c r="M19" s="68"/>
      <c r="N19" s="57"/>
      <c r="O19" s="58"/>
      <c r="P19" s="58"/>
      <c r="Q19" s="58"/>
      <c r="R19" s="58"/>
      <c r="S19" s="68"/>
      <c r="T19" s="64"/>
      <c r="U19" s="65"/>
      <c r="V19" s="65"/>
      <c r="W19" s="65"/>
      <c r="X19" s="70"/>
      <c r="Y19" s="71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226"/>
      <c r="AS19" s="187"/>
      <c r="AT19" s="188"/>
      <c r="AU19" s="188"/>
      <c r="AV19" s="188"/>
      <c r="AW19" s="188"/>
      <c r="AX19" s="189"/>
      <c r="AY19" s="246"/>
      <c r="AZ19" s="206" t="s">
        <v>165</v>
      </c>
      <c r="BA19" s="207"/>
      <c r="BB19" s="207"/>
      <c r="BC19" s="207"/>
      <c r="BD19" s="247" t="s">
        <v>166</v>
      </c>
      <c r="BE19" s="259"/>
      <c r="BF19" s="259"/>
      <c r="BG19" s="259"/>
      <c r="BH19" s="259"/>
      <c r="BI19" s="259"/>
      <c r="BJ19" s="259"/>
      <c r="BK19" s="259"/>
      <c r="BL19" s="259"/>
      <c r="BM19" s="259"/>
      <c r="BN19" s="259"/>
      <c r="BO19" s="259"/>
      <c r="BP19" s="259"/>
      <c r="BQ19" s="262"/>
      <c r="BR19" s="232"/>
      <c r="BS19" s="233"/>
      <c r="BT19" s="233"/>
      <c r="BU19" s="233"/>
      <c r="BV19" s="233"/>
      <c r="BW19" s="256"/>
      <c r="BY19" s="74" t="s">
        <v>167</v>
      </c>
      <c r="BZ19" s="75">
        <f>N5+J9</f>
        <v>0</v>
      </c>
      <c r="CB19" s="75" t="s">
        <v>168</v>
      </c>
      <c r="CC19" s="75" t="s">
        <v>169</v>
      </c>
      <c r="CD19" s="75" t="s">
        <v>125</v>
      </c>
      <c r="CI19" s="77" t="s">
        <v>170</v>
      </c>
      <c r="CO19" s="77"/>
      <c r="CP19" s="77"/>
      <c r="CQ19" s="77"/>
      <c r="CR19" s="77"/>
      <c r="CS19" s="77"/>
    </row>
    <row r="20" customHeight="1" spans="2:97">
      <c r="B20" s="60"/>
      <c r="C20" s="61"/>
      <c r="D20" s="61"/>
      <c r="E20" s="61"/>
      <c r="F20" s="61"/>
      <c r="G20" s="69"/>
      <c r="H20" s="60"/>
      <c r="I20" s="61"/>
      <c r="J20" s="61"/>
      <c r="K20" s="61"/>
      <c r="L20" s="61"/>
      <c r="M20" s="69"/>
      <c r="N20" s="60"/>
      <c r="O20" s="61"/>
      <c r="P20" s="61"/>
      <c r="Q20" s="61"/>
      <c r="R20" s="61"/>
      <c r="S20" s="69"/>
      <c r="T20" s="64"/>
      <c r="U20" s="65"/>
      <c r="V20" s="65"/>
      <c r="W20" s="65"/>
      <c r="X20" s="70"/>
      <c r="Y20" s="71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226"/>
      <c r="AS20" s="190"/>
      <c r="AT20" s="191"/>
      <c r="AU20" s="191"/>
      <c r="AV20" s="191"/>
      <c r="AW20" s="191"/>
      <c r="AX20" s="192"/>
      <c r="AY20" s="245"/>
      <c r="AZ20" s="207"/>
      <c r="BA20" s="207"/>
      <c r="BB20" s="207"/>
      <c r="BC20" s="207"/>
      <c r="BD20" s="248"/>
      <c r="BE20" s="260"/>
      <c r="BF20" s="260"/>
      <c r="BG20" s="260"/>
      <c r="BH20" s="260"/>
      <c r="BI20" s="260"/>
      <c r="BJ20" s="260"/>
      <c r="BK20" s="260"/>
      <c r="BL20" s="260"/>
      <c r="BM20" s="260"/>
      <c r="BN20" s="260"/>
      <c r="BO20" s="260"/>
      <c r="BP20" s="260"/>
      <c r="BQ20" s="263"/>
      <c r="BR20" s="235"/>
      <c r="BS20" s="236"/>
      <c r="BT20" s="236"/>
      <c r="BU20" s="236"/>
      <c r="BV20" s="236"/>
      <c r="BW20" s="257"/>
      <c r="BY20" s="74" t="s">
        <v>171</v>
      </c>
      <c r="BZ20" s="75">
        <f>N5+L9</f>
        <v>0</v>
      </c>
      <c r="CB20" s="75" t="s">
        <v>172</v>
      </c>
      <c r="CC20" s="271">
        <f>INT(N5/5)</f>
        <v>0</v>
      </c>
      <c r="CF20" s="269">
        <v>1</v>
      </c>
      <c r="CG20" s="269">
        <v>1</v>
      </c>
      <c r="CH20" s="269">
        <v>1</v>
      </c>
      <c r="CL20" s="269">
        <f>SUM(CC20:CE20)*SUMPRODUCT(CF20,CG20,CH20)+SUM(CI20:CK20)</f>
        <v>0</v>
      </c>
      <c r="CO20" s="77"/>
      <c r="CP20" s="77"/>
      <c r="CQ20" s="77"/>
      <c r="CR20" s="77"/>
      <c r="CS20" s="77"/>
    </row>
    <row r="21" customHeight="1" spans="2:97">
      <c r="B21" s="53" t="s">
        <v>173</v>
      </c>
      <c r="C21" s="54">
        <v>0</v>
      </c>
      <c r="D21" s="55"/>
      <c r="E21" s="56"/>
      <c r="F21" s="56"/>
      <c r="G21" s="56"/>
      <c r="H21" s="53" t="s">
        <v>173</v>
      </c>
      <c r="I21" s="54">
        <v>0</v>
      </c>
      <c r="J21" s="55"/>
      <c r="K21" s="56"/>
      <c r="L21" s="56"/>
      <c r="M21" s="56"/>
      <c r="N21" s="53" t="s">
        <v>173</v>
      </c>
      <c r="O21" s="54">
        <v>0</v>
      </c>
      <c r="P21" s="55"/>
      <c r="Q21" s="56"/>
      <c r="R21" s="56"/>
      <c r="S21" s="56"/>
      <c r="T21" s="64"/>
      <c r="U21" s="65"/>
      <c r="V21" s="65"/>
      <c r="W21" s="65"/>
      <c r="X21" s="70"/>
      <c r="Y21" s="71"/>
      <c r="AA21" s="44"/>
      <c r="AB21" s="44"/>
      <c r="AC21" s="30"/>
      <c r="AD21" s="30"/>
      <c r="AE21" s="30"/>
      <c r="AF21" s="30"/>
      <c r="AG21" s="44"/>
      <c r="AH21" s="44"/>
      <c r="AI21" s="30"/>
      <c r="AJ21" s="30"/>
      <c r="AK21" s="30"/>
      <c r="AL21" s="30"/>
      <c r="AM21" s="44"/>
      <c r="AN21" s="44"/>
      <c r="AO21" s="30"/>
      <c r="AP21" s="30"/>
      <c r="AQ21" s="30"/>
      <c r="AR21" s="30"/>
      <c r="AS21" s="227"/>
      <c r="AT21" s="227"/>
      <c r="AU21" s="228"/>
      <c r="AV21" s="228"/>
      <c r="AW21" s="228"/>
      <c r="AX21" s="228"/>
      <c r="AY21" s="246"/>
      <c r="AZ21" s="206" t="s">
        <v>174</v>
      </c>
      <c r="BA21" s="207"/>
      <c r="BB21" s="207"/>
      <c r="BC21" s="207"/>
      <c r="BD21" s="247" t="s">
        <v>175</v>
      </c>
      <c r="BE21" s="259"/>
      <c r="BF21" s="259"/>
      <c r="BG21" s="259"/>
      <c r="BH21" s="259"/>
      <c r="BI21" s="259"/>
      <c r="BJ21" s="259"/>
      <c r="BK21" s="259"/>
      <c r="BL21" s="259"/>
      <c r="BM21" s="259"/>
      <c r="BN21" s="259"/>
      <c r="BO21" s="259"/>
      <c r="BP21" s="259"/>
      <c r="BQ21" s="262"/>
      <c r="BR21" s="232"/>
      <c r="BS21" s="233"/>
      <c r="BT21" s="233"/>
      <c r="BU21" s="233"/>
      <c r="BV21" s="233"/>
      <c r="BW21" s="256"/>
      <c r="BY21" s="74" t="s">
        <v>176</v>
      </c>
      <c r="BZ21" s="75">
        <f>J7+L7</f>
        <v>0</v>
      </c>
      <c r="CB21" s="75" t="s">
        <v>177</v>
      </c>
      <c r="CC21" s="271">
        <f>INT(N7/5)</f>
        <v>0</v>
      </c>
      <c r="CF21" s="269">
        <v>1</v>
      </c>
      <c r="CG21" s="269">
        <v>1</v>
      </c>
      <c r="CH21" s="269">
        <v>1</v>
      </c>
      <c r="CL21" s="269">
        <f>SUM(CC21:CE21)*SUMPRODUCT(CF21,CG21,CH21)+SUM(CI21:CK21)</f>
        <v>0</v>
      </c>
      <c r="CO21" s="77"/>
      <c r="CP21" s="77"/>
      <c r="CQ21" s="77"/>
      <c r="CR21" s="77"/>
      <c r="CS21" s="77"/>
    </row>
    <row r="22" customHeight="1" spans="2:97">
      <c r="B22" s="57"/>
      <c r="C22" s="58"/>
      <c r="D22" s="59"/>
      <c r="E22" s="59"/>
      <c r="F22" s="59"/>
      <c r="G22" s="67"/>
      <c r="H22" s="57"/>
      <c r="I22" s="58"/>
      <c r="J22" s="59"/>
      <c r="K22" s="59"/>
      <c r="L22" s="59"/>
      <c r="M22" s="67"/>
      <c r="N22" s="57"/>
      <c r="O22" s="58"/>
      <c r="P22" s="59"/>
      <c r="Q22" s="59"/>
      <c r="R22" s="59"/>
      <c r="S22" s="67"/>
      <c r="T22" s="64"/>
      <c r="U22" s="65"/>
      <c r="V22" s="65"/>
      <c r="W22" s="65"/>
      <c r="X22" s="70"/>
      <c r="Y22" s="71"/>
      <c r="AA22" s="184"/>
      <c r="AB22" s="185"/>
      <c r="AC22" s="185"/>
      <c r="AD22" s="185"/>
      <c r="AE22" s="185"/>
      <c r="AF22" s="186"/>
      <c r="AG22" s="184"/>
      <c r="AH22" s="185"/>
      <c r="AI22" s="185"/>
      <c r="AJ22" s="185"/>
      <c r="AK22" s="185"/>
      <c r="AL22" s="186"/>
      <c r="AM22" s="184"/>
      <c r="AN22" s="185"/>
      <c r="AO22" s="185"/>
      <c r="AP22" s="185"/>
      <c r="AQ22" s="185"/>
      <c r="AR22" s="186"/>
      <c r="AS22" s="184"/>
      <c r="AT22" s="185"/>
      <c r="AU22" s="185"/>
      <c r="AV22" s="185"/>
      <c r="AW22" s="185"/>
      <c r="AX22" s="186"/>
      <c r="AY22" s="245"/>
      <c r="AZ22" s="207"/>
      <c r="BA22" s="207"/>
      <c r="BB22" s="207"/>
      <c r="BC22" s="207"/>
      <c r="BD22" s="248"/>
      <c r="BE22" s="260"/>
      <c r="BF22" s="260"/>
      <c r="BG22" s="260"/>
      <c r="BH22" s="260"/>
      <c r="BI22" s="260"/>
      <c r="BJ22" s="260"/>
      <c r="BK22" s="260"/>
      <c r="BL22" s="260"/>
      <c r="BM22" s="260"/>
      <c r="BN22" s="260"/>
      <c r="BO22" s="260"/>
      <c r="BP22" s="260"/>
      <c r="BQ22" s="263"/>
      <c r="BR22" s="235"/>
      <c r="BS22" s="236"/>
      <c r="BT22" s="236"/>
      <c r="BU22" s="236"/>
      <c r="BV22" s="236"/>
      <c r="BW22" s="257"/>
      <c r="BY22" s="74" t="s">
        <v>178</v>
      </c>
      <c r="BZ22" s="75">
        <f>J7+N7</f>
        <v>0</v>
      </c>
      <c r="CB22" s="75" t="s">
        <v>179</v>
      </c>
      <c r="CC22" s="270">
        <v>0</v>
      </c>
      <c r="CF22" s="269">
        <v>1</v>
      </c>
      <c r="CG22" s="269">
        <v>1</v>
      </c>
      <c r="CH22" s="269">
        <v>1</v>
      </c>
      <c r="CL22" s="269">
        <f>SUM(CC22:CE22)*SUMPRODUCT(CF22,CG22,CH22)+SUM(CI22:CK22)</f>
        <v>0</v>
      </c>
      <c r="CO22" s="77"/>
      <c r="CP22" s="77"/>
      <c r="CQ22" s="77"/>
      <c r="CR22" s="77"/>
      <c r="CS22" s="77"/>
    </row>
    <row r="23" customHeight="1" spans="2:90">
      <c r="B23" s="57"/>
      <c r="C23" s="58"/>
      <c r="D23" s="58"/>
      <c r="E23" s="58"/>
      <c r="F23" s="58"/>
      <c r="G23" s="68"/>
      <c r="H23" s="57"/>
      <c r="I23" s="58"/>
      <c r="J23" s="58"/>
      <c r="K23" s="58"/>
      <c r="L23" s="58"/>
      <c r="M23" s="68"/>
      <c r="N23" s="57"/>
      <c r="O23" s="58"/>
      <c r="P23" s="58"/>
      <c r="Q23" s="58"/>
      <c r="R23" s="58"/>
      <c r="S23" s="68"/>
      <c r="T23" s="64"/>
      <c r="U23" s="65"/>
      <c r="V23" s="65"/>
      <c r="W23" s="65"/>
      <c r="X23" s="70"/>
      <c r="Y23" s="71"/>
      <c r="Z23" s="96"/>
      <c r="AA23" s="187"/>
      <c r="AB23" s="188"/>
      <c r="AC23" s="188"/>
      <c r="AD23" s="188"/>
      <c r="AE23" s="188"/>
      <c r="AF23" s="189"/>
      <c r="AG23" s="187"/>
      <c r="AH23" s="188"/>
      <c r="AI23" s="188"/>
      <c r="AJ23" s="188"/>
      <c r="AK23" s="188"/>
      <c r="AL23" s="189"/>
      <c r="AM23" s="187"/>
      <c r="AN23" s="188"/>
      <c r="AO23" s="188"/>
      <c r="AP23" s="188"/>
      <c r="AQ23" s="188"/>
      <c r="AR23" s="189"/>
      <c r="AS23" s="187"/>
      <c r="AT23" s="188"/>
      <c r="AU23" s="188"/>
      <c r="AV23" s="188"/>
      <c r="AW23" s="188"/>
      <c r="AX23" s="189"/>
      <c r="AY23" s="249"/>
      <c r="AZ23" s="206" t="s">
        <v>180</v>
      </c>
      <c r="BA23" s="207"/>
      <c r="BB23" s="207"/>
      <c r="BC23" s="207"/>
      <c r="BD23" s="247" t="s">
        <v>181</v>
      </c>
      <c r="BE23" s="259"/>
      <c r="BF23" s="259"/>
      <c r="BG23" s="259"/>
      <c r="BH23" s="259"/>
      <c r="BI23" s="259"/>
      <c r="BJ23" s="259"/>
      <c r="BK23" s="259"/>
      <c r="BL23" s="259"/>
      <c r="BM23" s="259"/>
      <c r="BN23" s="259"/>
      <c r="BO23" s="259"/>
      <c r="BP23" s="259"/>
      <c r="BQ23" s="262"/>
      <c r="BR23" s="232"/>
      <c r="BS23" s="233"/>
      <c r="BT23" s="233"/>
      <c r="BU23" s="233"/>
      <c r="BV23" s="233"/>
      <c r="BW23" s="256"/>
      <c r="BX23" s="96"/>
      <c r="BY23" s="265" t="s">
        <v>182</v>
      </c>
      <c r="BZ23" s="75">
        <f>J7+J9</f>
        <v>0</v>
      </c>
      <c r="CB23" s="75" t="s">
        <v>183</v>
      </c>
      <c r="CC23" s="270">
        <v>0</v>
      </c>
      <c r="CF23" s="269">
        <v>1</v>
      </c>
      <c r="CG23" s="269">
        <v>1</v>
      </c>
      <c r="CH23" s="269">
        <v>1</v>
      </c>
      <c r="CL23" s="269">
        <f>SUM(CC23:CE23)*SUMPRODUCT(CF23,CG23,CH23)+SUM(CI23:CK23)</f>
        <v>0</v>
      </c>
    </row>
    <row r="24" customHeight="1" spans="2:85">
      <c r="B24" s="60"/>
      <c r="C24" s="61"/>
      <c r="D24" s="61"/>
      <c r="E24" s="61"/>
      <c r="F24" s="61"/>
      <c r="G24" s="69"/>
      <c r="H24" s="60"/>
      <c r="I24" s="61"/>
      <c r="J24" s="61"/>
      <c r="K24" s="61"/>
      <c r="L24" s="61"/>
      <c r="M24" s="69"/>
      <c r="N24" s="60"/>
      <c r="O24" s="61"/>
      <c r="P24" s="61"/>
      <c r="Q24" s="61"/>
      <c r="R24" s="61"/>
      <c r="S24" s="69"/>
      <c r="T24" s="64"/>
      <c r="U24" s="65"/>
      <c r="V24" s="65"/>
      <c r="W24" s="65"/>
      <c r="X24" s="70"/>
      <c r="Y24" s="71"/>
      <c r="AA24" s="190"/>
      <c r="AB24" s="191"/>
      <c r="AC24" s="191"/>
      <c r="AD24" s="191"/>
      <c r="AE24" s="191"/>
      <c r="AF24" s="192"/>
      <c r="AG24" s="190"/>
      <c r="AH24" s="191"/>
      <c r="AI24" s="191"/>
      <c r="AJ24" s="191"/>
      <c r="AK24" s="191"/>
      <c r="AL24" s="192"/>
      <c r="AM24" s="190"/>
      <c r="AN24" s="191"/>
      <c r="AO24" s="191"/>
      <c r="AP24" s="191"/>
      <c r="AQ24" s="191"/>
      <c r="AR24" s="192"/>
      <c r="AS24" s="190"/>
      <c r="AT24" s="191"/>
      <c r="AU24" s="191"/>
      <c r="AV24" s="191"/>
      <c r="AW24" s="191"/>
      <c r="AX24" s="192"/>
      <c r="AY24" s="250"/>
      <c r="AZ24" s="207"/>
      <c r="BA24" s="207"/>
      <c r="BB24" s="207"/>
      <c r="BC24" s="207"/>
      <c r="BD24" s="248"/>
      <c r="BE24" s="260"/>
      <c r="BF24" s="260"/>
      <c r="BG24" s="260"/>
      <c r="BH24" s="260"/>
      <c r="BI24" s="260"/>
      <c r="BJ24" s="260"/>
      <c r="BK24" s="260"/>
      <c r="BL24" s="260"/>
      <c r="BM24" s="260"/>
      <c r="BN24" s="260"/>
      <c r="BO24" s="260"/>
      <c r="BP24" s="260"/>
      <c r="BQ24" s="263"/>
      <c r="BR24" s="235"/>
      <c r="BS24" s="236"/>
      <c r="BT24" s="236"/>
      <c r="BU24" s="236"/>
      <c r="BV24" s="236"/>
      <c r="BW24" s="257"/>
      <c r="BY24" s="74" t="s">
        <v>184</v>
      </c>
      <c r="BZ24" s="75">
        <f>J7+L9</f>
        <v>0</v>
      </c>
      <c r="CB24" s="75" t="s">
        <v>185</v>
      </c>
      <c r="CC24" s="75" t="s">
        <v>12</v>
      </c>
      <c r="CD24" s="75" t="s">
        <v>156</v>
      </c>
      <c r="CF24" s="77" t="s">
        <v>125</v>
      </c>
      <c r="CG24" s="77" t="s">
        <v>23</v>
      </c>
    </row>
    <row r="25" customHeight="1" spans="2:90">
      <c r="B25" s="96"/>
      <c r="C25" s="96"/>
      <c r="D25" s="96"/>
      <c r="E25" s="96"/>
      <c r="F25" s="96"/>
      <c r="G25" s="96"/>
      <c r="H25" s="96"/>
      <c r="I25" s="96"/>
      <c r="J25" s="127"/>
      <c r="K25" s="127"/>
      <c r="L25" s="127"/>
      <c r="M25" s="127"/>
      <c r="N25" s="127"/>
      <c r="O25" s="127"/>
      <c r="P25" s="96"/>
      <c r="Q25" s="96"/>
      <c r="R25" s="152" t="s">
        <v>186</v>
      </c>
      <c r="S25" s="152"/>
      <c r="T25" s="153" t="str">
        <f>IF(V25&lt;=CL28*0.3,"轻快",IF(V25&gt;=CL28,"超重",IF(V25&gt;=CL28*0.7,"缓慢","正常")))</f>
        <v>轻快</v>
      </c>
      <c r="U25" s="153"/>
      <c r="V25" s="154">
        <f>SUM(B13:S24,Y14:Y24)</f>
        <v>0</v>
      </c>
      <c r="W25" s="154"/>
      <c r="X25" s="155">
        <f>CL28</f>
        <v>20</v>
      </c>
      <c r="Y25" s="155"/>
      <c r="AA25" s="30"/>
      <c r="AB25" s="30"/>
      <c r="AC25" s="30"/>
      <c r="AD25" s="30"/>
      <c r="AE25" s="30"/>
      <c r="AF25" s="44"/>
      <c r="AG25" s="30"/>
      <c r="AH25" s="30"/>
      <c r="AI25" s="30"/>
      <c r="AJ25" s="30"/>
      <c r="AK25" s="30"/>
      <c r="AL25" s="44"/>
      <c r="AM25" s="30"/>
      <c r="AN25" s="30"/>
      <c r="AO25" s="30"/>
      <c r="AP25" s="30"/>
      <c r="AQ25" s="30"/>
      <c r="AR25" s="44"/>
      <c r="AS25" s="30"/>
      <c r="AT25" s="30"/>
      <c r="AU25" s="30"/>
      <c r="AV25" s="30"/>
      <c r="AW25" s="30"/>
      <c r="AX25" s="44"/>
      <c r="AY25" s="250"/>
      <c r="AZ25" s="251" t="s">
        <v>187</v>
      </c>
      <c r="BA25" s="252"/>
      <c r="BB25" s="252"/>
      <c r="BC25" s="252"/>
      <c r="BD25" s="253" t="s">
        <v>188</v>
      </c>
      <c r="BE25" s="253"/>
      <c r="BF25" s="253"/>
      <c r="BG25" s="253"/>
      <c r="BH25" s="253"/>
      <c r="BI25" s="253"/>
      <c r="BJ25" s="253"/>
      <c r="BK25" s="253"/>
      <c r="BL25" s="253"/>
      <c r="BM25" s="253"/>
      <c r="BN25" s="253"/>
      <c r="BO25" s="253"/>
      <c r="BP25" s="253"/>
      <c r="BQ25" s="253"/>
      <c r="BR25" s="264"/>
      <c r="BS25" s="264"/>
      <c r="BT25" s="264"/>
      <c r="BU25" s="264"/>
      <c r="BV25" s="264"/>
      <c r="BW25" s="264"/>
      <c r="BY25" s="74" t="s">
        <v>189</v>
      </c>
      <c r="BZ25" s="75">
        <f>L7+N7</f>
        <v>0</v>
      </c>
      <c r="CB25" s="75" t="s">
        <v>4</v>
      </c>
      <c r="CC25" s="75">
        <f>INT(VLOOKUP(VLOOKUP($AC$4,查询附表!$B:$C,2,0),BY2:BZ30,2,0))</f>
        <v>0</v>
      </c>
      <c r="CD25" s="75">
        <f>VLOOKUP($AO$17,BY31:CA34,2,0)</f>
        <v>0</v>
      </c>
      <c r="CF25" s="269">
        <v>1</v>
      </c>
      <c r="CG25" s="269">
        <f>1</f>
        <v>1</v>
      </c>
      <c r="CH25" s="269">
        <v>1</v>
      </c>
      <c r="CL25" s="269">
        <f>INT(SUM(CC25:CE25)*SUMPRODUCT(CF25,CG25,CH25)+SUM(CI25:CK25))</f>
        <v>0</v>
      </c>
    </row>
    <row r="26" customHeight="1" spans="2:90">
      <c r="B26" s="94" t="s">
        <v>190</v>
      </c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AA26" s="193"/>
      <c r="AB26" s="194"/>
      <c r="AC26" s="194"/>
      <c r="AD26" s="194"/>
      <c r="AE26" s="194"/>
      <c r="AF26" s="195"/>
      <c r="AG26" s="193"/>
      <c r="AH26" s="194"/>
      <c r="AI26" s="194"/>
      <c r="AJ26" s="194"/>
      <c r="AK26" s="194"/>
      <c r="AL26" s="195"/>
      <c r="AM26" s="193"/>
      <c r="AN26" s="194"/>
      <c r="AO26" s="194"/>
      <c r="AP26" s="194"/>
      <c r="AQ26" s="194"/>
      <c r="AR26" s="195"/>
      <c r="AS26" s="193"/>
      <c r="AT26" s="194"/>
      <c r="AU26" s="194"/>
      <c r="AV26" s="194"/>
      <c r="AW26" s="194"/>
      <c r="AX26" s="195"/>
      <c r="AZ26" s="252"/>
      <c r="BA26" s="252"/>
      <c r="BB26" s="252"/>
      <c r="BC26" s="252"/>
      <c r="BD26" s="253"/>
      <c r="BE26" s="253"/>
      <c r="BF26" s="253"/>
      <c r="BG26" s="253"/>
      <c r="BH26" s="253"/>
      <c r="BI26" s="253"/>
      <c r="BJ26" s="253"/>
      <c r="BK26" s="253"/>
      <c r="BL26" s="253"/>
      <c r="BM26" s="253"/>
      <c r="BN26" s="253"/>
      <c r="BO26" s="253"/>
      <c r="BP26" s="253"/>
      <c r="BQ26" s="253"/>
      <c r="BR26" s="264"/>
      <c r="BS26" s="264"/>
      <c r="BT26" s="264"/>
      <c r="BU26" s="264"/>
      <c r="BV26" s="264"/>
      <c r="BW26" s="264"/>
      <c r="BY26" s="74" t="s">
        <v>191</v>
      </c>
      <c r="BZ26" s="75">
        <f>N7+J9</f>
        <v>0</v>
      </c>
      <c r="CB26" s="75" t="s">
        <v>145</v>
      </c>
      <c r="CC26" s="75">
        <f>INT(VLOOKUP(VLOOKUP($AC$4,查询附表!$B:$C,2,0),BY2:BZ30,2,0))</f>
        <v>0</v>
      </c>
      <c r="CD26" s="75">
        <f>VLOOKUP($AO$17,BY31:CA34,2,0)</f>
        <v>0</v>
      </c>
      <c r="CF26" s="269">
        <v>1</v>
      </c>
      <c r="CG26" s="269">
        <f>0.5</f>
        <v>0.5</v>
      </c>
      <c r="CH26" s="269">
        <v>1</v>
      </c>
      <c r="CL26" s="269">
        <f>INT(SUM(CC26:CE26)*SUMPRODUCT(CF26,CG26,CH26)+SUM(CI26:CK26))</f>
        <v>0</v>
      </c>
    </row>
    <row r="27" customHeight="1" spans="1:92">
      <c r="A27" s="92"/>
      <c r="B27" s="96"/>
      <c r="C27" s="96"/>
      <c r="D27" s="96"/>
      <c r="E27" s="96"/>
      <c r="F27" s="96"/>
      <c r="G27" s="96"/>
      <c r="H27" s="96"/>
      <c r="I27" s="96"/>
      <c r="J27" s="127"/>
      <c r="K27" s="127"/>
      <c r="L27" s="127"/>
      <c r="M27" s="127"/>
      <c r="N27" s="127"/>
      <c r="O27" s="127"/>
      <c r="P27" s="96"/>
      <c r="Q27" s="96"/>
      <c r="R27" s="153"/>
      <c r="S27" s="153"/>
      <c r="T27" s="153"/>
      <c r="U27" s="153"/>
      <c r="V27" s="154"/>
      <c r="W27" s="154"/>
      <c r="X27" s="155"/>
      <c r="Y27" s="155"/>
      <c r="AA27" s="196"/>
      <c r="AB27" s="197"/>
      <c r="AC27" s="197"/>
      <c r="AD27" s="197"/>
      <c r="AE27" s="197"/>
      <c r="AF27" s="198"/>
      <c r="AG27" s="196"/>
      <c r="AH27" s="197"/>
      <c r="AI27" s="197"/>
      <c r="AJ27" s="197"/>
      <c r="AK27" s="197"/>
      <c r="AL27" s="198"/>
      <c r="AM27" s="196"/>
      <c r="AN27" s="197"/>
      <c r="AO27" s="197"/>
      <c r="AP27" s="197"/>
      <c r="AQ27" s="197"/>
      <c r="AR27" s="198"/>
      <c r="AS27" s="196"/>
      <c r="AT27" s="197"/>
      <c r="AU27" s="197"/>
      <c r="AV27" s="197"/>
      <c r="AW27" s="197"/>
      <c r="AX27" s="198"/>
      <c r="AY27" s="238"/>
      <c r="AZ27" s="252"/>
      <c r="BA27" s="252"/>
      <c r="BB27" s="252"/>
      <c r="BC27" s="252"/>
      <c r="BD27" s="253"/>
      <c r="BE27" s="253"/>
      <c r="BF27" s="253"/>
      <c r="BG27" s="253"/>
      <c r="BH27" s="253"/>
      <c r="BI27" s="253"/>
      <c r="BJ27" s="253"/>
      <c r="BK27" s="253"/>
      <c r="BL27" s="253"/>
      <c r="BM27" s="253"/>
      <c r="BN27" s="253"/>
      <c r="BO27" s="253"/>
      <c r="BP27" s="253"/>
      <c r="BQ27" s="253"/>
      <c r="BR27" s="264"/>
      <c r="BS27" s="264"/>
      <c r="BT27" s="264"/>
      <c r="BU27" s="264"/>
      <c r="BV27" s="264"/>
      <c r="BW27" s="264"/>
      <c r="BY27" s="74" t="s">
        <v>192</v>
      </c>
      <c r="BZ27" s="75">
        <f>N7+L9</f>
        <v>0</v>
      </c>
      <c r="CB27" s="75" t="s">
        <v>193</v>
      </c>
      <c r="CM27" s="272">
        <v>0.7</v>
      </c>
      <c r="CN27" s="272">
        <v>0.3</v>
      </c>
    </row>
    <row r="28" customHeight="1" spans="1:92">
      <c r="A28" s="92"/>
      <c r="B28" s="97"/>
      <c r="C28" s="98"/>
      <c r="D28" s="99"/>
      <c r="E28" s="98"/>
      <c r="F28" s="98"/>
      <c r="G28" s="100"/>
      <c r="H28" s="97" t="s">
        <v>194</v>
      </c>
      <c r="I28" s="98"/>
      <c r="J28" s="99" t="s">
        <v>195</v>
      </c>
      <c r="K28" s="98" t="s">
        <v>196</v>
      </c>
      <c r="L28" s="98"/>
      <c r="M28" s="99" t="s">
        <v>195</v>
      </c>
      <c r="N28" s="98" t="s">
        <v>197</v>
      </c>
      <c r="O28" s="98"/>
      <c r="P28" s="100" t="s">
        <v>195</v>
      </c>
      <c r="Q28" s="97" t="s">
        <v>198</v>
      </c>
      <c r="R28" s="98"/>
      <c r="S28" s="99" t="s">
        <v>195</v>
      </c>
      <c r="T28" s="98" t="s">
        <v>199</v>
      </c>
      <c r="U28" s="98"/>
      <c r="V28" s="99" t="s">
        <v>195</v>
      </c>
      <c r="W28" s="98" t="s">
        <v>200</v>
      </c>
      <c r="X28" s="98"/>
      <c r="Y28" s="100" t="s">
        <v>195</v>
      </c>
      <c r="AA28" s="199"/>
      <c r="AB28" s="200"/>
      <c r="AC28" s="200"/>
      <c r="AD28" s="200"/>
      <c r="AE28" s="200"/>
      <c r="AF28" s="201"/>
      <c r="AG28" s="199"/>
      <c r="AH28" s="200"/>
      <c r="AI28" s="200"/>
      <c r="AJ28" s="200"/>
      <c r="AK28" s="200"/>
      <c r="AL28" s="201"/>
      <c r="AM28" s="199"/>
      <c r="AN28" s="200"/>
      <c r="AO28" s="200"/>
      <c r="AP28" s="200"/>
      <c r="AQ28" s="200"/>
      <c r="AR28" s="201"/>
      <c r="AS28" s="199"/>
      <c r="AT28" s="200"/>
      <c r="AU28" s="200"/>
      <c r="AV28" s="200"/>
      <c r="AW28" s="200"/>
      <c r="AX28" s="201"/>
      <c r="AY28" s="254"/>
      <c r="AZ28" s="252" t="s">
        <v>201</v>
      </c>
      <c r="BA28" s="252"/>
      <c r="BB28" s="252"/>
      <c r="BC28" s="252"/>
      <c r="BD28" s="253" t="s">
        <v>202</v>
      </c>
      <c r="BE28" s="253"/>
      <c r="BF28" s="253"/>
      <c r="BG28" s="253"/>
      <c r="BH28" s="253"/>
      <c r="BI28" s="253"/>
      <c r="BJ28" s="253"/>
      <c r="BK28" s="253"/>
      <c r="BL28" s="253"/>
      <c r="BM28" s="253"/>
      <c r="BN28" s="253"/>
      <c r="BO28" s="253"/>
      <c r="BP28" s="253"/>
      <c r="BQ28" s="253"/>
      <c r="BR28" s="264"/>
      <c r="BS28" s="264"/>
      <c r="BT28" s="264"/>
      <c r="BU28" s="264"/>
      <c r="BV28" s="264"/>
      <c r="BW28" s="264"/>
      <c r="BY28" s="74" t="s">
        <v>203</v>
      </c>
      <c r="BZ28" s="75">
        <f>N7+J9</f>
        <v>0</v>
      </c>
      <c r="CB28" s="75" t="s">
        <v>204</v>
      </c>
      <c r="CC28" s="271">
        <f>20+(J5+N5*3)</f>
        <v>20</v>
      </c>
      <c r="CF28" s="269">
        <v>1</v>
      </c>
      <c r="CG28" s="269">
        <v>1</v>
      </c>
      <c r="CH28" s="269">
        <v>1</v>
      </c>
      <c r="CL28" s="269">
        <f>SUM(CC28:CE28)*SUMPRODUCT(CF28,CG28,CH28)+SUM(CI28:CK28)</f>
        <v>20</v>
      </c>
      <c r="CM28" s="269">
        <f>ROUND(CL28*0.7,1)</f>
        <v>14</v>
      </c>
      <c r="CN28" s="269">
        <f>ROUND(CL28*0.3,1)</f>
        <v>6</v>
      </c>
    </row>
    <row r="29" customHeight="1" spans="1:90">
      <c r="A29" s="92"/>
      <c r="B29" s="101"/>
      <c r="C29" s="102"/>
      <c r="D29" s="103"/>
      <c r="E29" s="102"/>
      <c r="F29" s="102"/>
      <c r="G29" s="104"/>
      <c r="H29" s="101" t="s">
        <v>205</v>
      </c>
      <c r="I29" s="102"/>
      <c r="J29" s="103" t="s">
        <v>195</v>
      </c>
      <c r="K29" s="102" t="s">
        <v>206</v>
      </c>
      <c r="L29" s="102"/>
      <c r="M29" s="103" t="s">
        <v>195</v>
      </c>
      <c r="N29" s="102" t="s">
        <v>207</v>
      </c>
      <c r="O29" s="102"/>
      <c r="P29" s="104" t="s">
        <v>195</v>
      </c>
      <c r="Q29" s="101" t="s">
        <v>208</v>
      </c>
      <c r="R29" s="102"/>
      <c r="S29" s="103" t="s">
        <v>195</v>
      </c>
      <c r="T29" s="102" t="s">
        <v>209</v>
      </c>
      <c r="U29" s="102"/>
      <c r="V29" s="103" t="s">
        <v>195</v>
      </c>
      <c r="W29" s="102" t="s">
        <v>210</v>
      </c>
      <c r="X29" s="102"/>
      <c r="Y29" s="104" t="s">
        <v>195</v>
      </c>
      <c r="AA29" s="30"/>
      <c r="AB29" s="30"/>
      <c r="AC29" s="30"/>
      <c r="AD29" s="30"/>
      <c r="AE29" s="30"/>
      <c r="AF29" s="44"/>
      <c r="AG29" s="30"/>
      <c r="AH29" s="30"/>
      <c r="AI29" s="30"/>
      <c r="AJ29" s="30"/>
      <c r="AK29" s="30"/>
      <c r="AL29" s="44"/>
      <c r="AM29" s="30"/>
      <c r="AN29" s="30"/>
      <c r="AO29" s="30"/>
      <c r="AP29" s="30"/>
      <c r="AQ29" s="30"/>
      <c r="AR29" s="44"/>
      <c r="AS29" s="30"/>
      <c r="AT29" s="30"/>
      <c r="AU29" s="30"/>
      <c r="AV29" s="30"/>
      <c r="AW29" s="30"/>
      <c r="AX29" s="44"/>
      <c r="AY29" s="254"/>
      <c r="AZ29" s="252"/>
      <c r="BA29" s="252"/>
      <c r="BB29" s="252"/>
      <c r="BC29" s="252"/>
      <c r="BD29" s="253"/>
      <c r="BE29" s="253"/>
      <c r="BF29" s="253"/>
      <c r="BG29" s="253"/>
      <c r="BH29" s="253"/>
      <c r="BI29" s="253"/>
      <c r="BJ29" s="253"/>
      <c r="BK29" s="253"/>
      <c r="BL29" s="253"/>
      <c r="BM29" s="253"/>
      <c r="BN29" s="253"/>
      <c r="BO29" s="253"/>
      <c r="BP29" s="253"/>
      <c r="BQ29" s="253"/>
      <c r="BR29" s="264"/>
      <c r="BS29" s="264"/>
      <c r="BT29" s="264"/>
      <c r="BU29" s="264"/>
      <c r="BV29" s="264"/>
      <c r="BW29" s="264"/>
      <c r="BY29" s="74" t="s">
        <v>211</v>
      </c>
      <c r="BZ29" s="75">
        <f>N7+L9</f>
        <v>0</v>
      </c>
      <c r="CB29" s="75" t="s">
        <v>212</v>
      </c>
      <c r="CC29" s="271">
        <v>20</v>
      </c>
      <c r="CF29" s="269">
        <v>1</v>
      </c>
      <c r="CG29" s="269">
        <v>1</v>
      </c>
      <c r="CH29" s="269">
        <v>1</v>
      </c>
      <c r="CL29" s="269">
        <f>SUM(CC29:CE29)*SUMPRODUCT(CF29,CG29,CH29)+SUM(CI29:CK29)</f>
        <v>20</v>
      </c>
    </row>
    <row r="30" customHeight="1" spans="1:90">
      <c r="A30" s="92"/>
      <c r="B30" s="105" t="s">
        <v>213</v>
      </c>
      <c r="C30" s="106"/>
      <c r="D30" s="107" t="s">
        <v>195</v>
      </c>
      <c r="E30" s="106" t="s">
        <v>214</v>
      </c>
      <c r="F30" s="106"/>
      <c r="G30" s="107" t="s">
        <v>195</v>
      </c>
      <c r="H30" s="106" t="s">
        <v>215</v>
      </c>
      <c r="I30" s="106"/>
      <c r="J30" s="107" t="s">
        <v>195</v>
      </c>
      <c r="K30" s="106" t="s">
        <v>216</v>
      </c>
      <c r="L30" s="106"/>
      <c r="M30" s="107" t="s">
        <v>195</v>
      </c>
      <c r="N30" s="106" t="s">
        <v>217</v>
      </c>
      <c r="O30" s="106"/>
      <c r="P30" s="107" t="s">
        <v>195</v>
      </c>
      <c r="Q30" s="106" t="s">
        <v>218</v>
      </c>
      <c r="R30" s="106"/>
      <c r="S30" s="107" t="s">
        <v>195</v>
      </c>
      <c r="T30" s="106" t="s">
        <v>219</v>
      </c>
      <c r="U30" s="106"/>
      <c r="V30" s="107" t="s">
        <v>195</v>
      </c>
      <c r="W30" s="106" t="s">
        <v>220</v>
      </c>
      <c r="X30" s="106"/>
      <c r="Y30" s="202" t="s">
        <v>195</v>
      </c>
      <c r="AA30" s="193"/>
      <c r="AB30" s="194"/>
      <c r="AC30" s="194"/>
      <c r="AD30" s="194"/>
      <c r="AE30" s="194"/>
      <c r="AF30" s="195"/>
      <c r="AG30" s="193"/>
      <c r="AH30" s="194"/>
      <c r="AI30" s="194"/>
      <c r="AJ30" s="194"/>
      <c r="AK30" s="194"/>
      <c r="AL30" s="195"/>
      <c r="AM30" s="193"/>
      <c r="AN30" s="194"/>
      <c r="AO30" s="194"/>
      <c r="AP30" s="194"/>
      <c r="AQ30" s="194"/>
      <c r="AR30" s="195"/>
      <c r="AS30" s="193"/>
      <c r="AT30" s="194"/>
      <c r="AU30" s="194"/>
      <c r="AV30" s="194"/>
      <c r="AW30" s="194"/>
      <c r="AX30" s="195"/>
      <c r="AY30" s="254"/>
      <c r="AZ30" s="252"/>
      <c r="BA30" s="252"/>
      <c r="BB30" s="252"/>
      <c r="BC30" s="252"/>
      <c r="BD30" s="253"/>
      <c r="BE30" s="253"/>
      <c r="BF30" s="253"/>
      <c r="BG30" s="253"/>
      <c r="BH30" s="253"/>
      <c r="BI30" s="253"/>
      <c r="BJ30" s="253"/>
      <c r="BK30" s="253"/>
      <c r="BL30" s="253"/>
      <c r="BM30" s="253"/>
      <c r="BN30" s="253"/>
      <c r="BO30" s="253"/>
      <c r="BP30" s="253"/>
      <c r="BQ30" s="253"/>
      <c r="BR30" s="264"/>
      <c r="BS30" s="264"/>
      <c r="BT30" s="264"/>
      <c r="BU30" s="264"/>
      <c r="BV30" s="264"/>
      <c r="BW30" s="264"/>
      <c r="BY30" s="74" t="s">
        <v>221</v>
      </c>
      <c r="BZ30" s="75">
        <f>J9+L9</f>
        <v>0</v>
      </c>
      <c r="CB30" s="75" t="s">
        <v>80</v>
      </c>
      <c r="CC30" s="270">
        <v>1</v>
      </c>
      <c r="CF30" s="269">
        <v>1</v>
      </c>
      <c r="CG30" s="269">
        <v>1</v>
      </c>
      <c r="CH30" s="269">
        <v>1</v>
      </c>
      <c r="CL30" s="269">
        <f>SUM(CC30:CE30)*SUMPRODUCT(CF30,CG30,CH30)+SUM(CI30:CK30)</f>
        <v>1</v>
      </c>
    </row>
    <row r="31" customHeight="1" spans="1:90">
      <c r="A31" s="92"/>
      <c r="B31" s="108" t="s">
        <v>222</v>
      </c>
      <c r="C31" s="109"/>
      <c r="D31" s="110" t="s">
        <v>195</v>
      </c>
      <c r="E31" s="109" t="s">
        <v>223</v>
      </c>
      <c r="F31" s="109"/>
      <c r="G31" s="110" t="s">
        <v>195</v>
      </c>
      <c r="H31" s="109" t="s">
        <v>224</v>
      </c>
      <c r="I31" s="109"/>
      <c r="J31" s="110" t="s">
        <v>195</v>
      </c>
      <c r="K31" s="109" t="s">
        <v>225</v>
      </c>
      <c r="L31" s="109"/>
      <c r="M31" s="110" t="s">
        <v>195</v>
      </c>
      <c r="N31" s="109" t="s">
        <v>226</v>
      </c>
      <c r="O31" s="109"/>
      <c r="P31" s="110" t="s">
        <v>195</v>
      </c>
      <c r="Q31" s="109" t="s">
        <v>227</v>
      </c>
      <c r="R31" s="109"/>
      <c r="S31" s="110" t="s">
        <v>195</v>
      </c>
      <c r="T31" s="109" t="s">
        <v>228</v>
      </c>
      <c r="U31" s="109"/>
      <c r="V31" s="110" t="s">
        <v>195</v>
      </c>
      <c r="W31" s="109" t="s">
        <v>229</v>
      </c>
      <c r="X31" s="109"/>
      <c r="Y31" s="203" t="s">
        <v>195</v>
      </c>
      <c r="AA31" s="196"/>
      <c r="AB31" s="197"/>
      <c r="AC31" s="197"/>
      <c r="AD31" s="197"/>
      <c r="AE31" s="197"/>
      <c r="AF31" s="198"/>
      <c r="AG31" s="196"/>
      <c r="AH31" s="197"/>
      <c r="AI31" s="197"/>
      <c r="AJ31" s="197"/>
      <c r="AK31" s="197"/>
      <c r="AL31" s="198"/>
      <c r="AM31" s="196"/>
      <c r="AN31" s="197"/>
      <c r="AO31" s="197"/>
      <c r="AP31" s="197"/>
      <c r="AQ31" s="197"/>
      <c r="AR31" s="198"/>
      <c r="AS31" s="196"/>
      <c r="AT31" s="197"/>
      <c r="AU31" s="197"/>
      <c r="AV31" s="197"/>
      <c r="AW31" s="197"/>
      <c r="AX31" s="198"/>
      <c r="AY31" s="254"/>
      <c r="AZ31" s="250"/>
      <c r="BA31" s="250"/>
      <c r="BB31" s="250"/>
      <c r="BC31" s="250"/>
      <c r="BD31" s="250"/>
      <c r="BE31" s="250"/>
      <c r="BF31" s="250"/>
      <c r="BG31" s="250"/>
      <c r="BH31" s="250"/>
      <c r="BI31" s="250"/>
      <c r="BJ31" s="250"/>
      <c r="BK31" s="250"/>
      <c r="BL31" s="250"/>
      <c r="BM31" s="250"/>
      <c r="BN31" s="250"/>
      <c r="BO31" s="250"/>
      <c r="BP31" s="250"/>
      <c r="BQ31" s="250"/>
      <c r="BR31" s="250"/>
      <c r="BS31" s="250"/>
      <c r="BT31" s="250"/>
      <c r="BU31" s="250"/>
      <c r="BV31" s="250"/>
      <c r="BW31" s="250"/>
      <c r="BY31" s="74" t="s">
        <v>157</v>
      </c>
      <c r="BZ31" s="75">
        <v>0</v>
      </c>
      <c r="CA31" s="75">
        <v>0</v>
      </c>
      <c r="CB31" s="75" t="s">
        <v>230</v>
      </c>
      <c r="CC31" s="270">
        <f>INT(L9/5+1)</f>
        <v>1</v>
      </c>
      <c r="CF31" s="269">
        <v>1</v>
      </c>
      <c r="CG31" s="269">
        <v>1</v>
      </c>
      <c r="CH31" s="269">
        <v>1</v>
      </c>
      <c r="CL31" s="269">
        <f>SUM(CC31:CE31)*SUMPRODUCT(CF31,CG31,CH31)+SUM(CI31:CK31)</f>
        <v>1</v>
      </c>
    </row>
    <row r="32" customHeight="1" spans="1:79">
      <c r="A32" s="92"/>
      <c r="B32" s="105" t="s">
        <v>231</v>
      </c>
      <c r="C32" s="106"/>
      <c r="D32" s="107" t="s">
        <v>195</v>
      </c>
      <c r="E32" s="106" t="s">
        <v>232</v>
      </c>
      <c r="F32" s="106"/>
      <c r="G32" s="107" t="s">
        <v>195</v>
      </c>
      <c r="H32" s="106" t="s">
        <v>233</v>
      </c>
      <c r="I32" s="106"/>
      <c r="J32" s="107" t="s">
        <v>195</v>
      </c>
      <c r="K32" s="106" t="s">
        <v>234</v>
      </c>
      <c r="L32" s="106"/>
      <c r="M32" s="107" t="s">
        <v>195</v>
      </c>
      <c r="N32" s="106" t="s">
        <v>235</v>
      </c>
      <c r="O32" s="106"/>
      <c r="P32" s="107" t="s">
        <v>195</v>
      </c>
      <c r="Q32" s="106" t="s">
        <v>236</v>
      </c>
      <c r="R32" s="106"/>
      <c r="S32" s="107" t="s">
        <v>195</v>
      </c>
      <c r="T32" s="106" t="s">
        <v>237</v>
      </c>
      <c r="U32" s="106"/>
      <c r="V32" s="107" t="s">
        <v>195</v>
      </c>
      <c r="W32" s="106" t="s">
        <v>238</v>
      </c>
      <c r="X32" s="106"/>
      <c r="Y32" s="202" t="s">
        <v>195</v>
      </c>
      <c r="AA32" s="199"/>
      <c r="AB32" s="200"/>
      <c r="AC32" s="200"/>
      <c r="AD32" s="200"/>
      <c r="AE32" s="200"/>
      <c r="AF32" s="201"/>
      <c r="AG32" s="199"/>
      <c r="AH32" s="200"/>
      <c r="AI32" s="200"/>
      <c r="AJ32" s="200"/>
      <c r="AK32" s="200"/>
      <c r="AL32" s="201"/>
      <c r="AM32" s="199"/>
      <c r="AN32" s="200"/>
      <c r="AO32" s="200"/>
      <c r="AP32" s="200"/>
      <c r="AQ32" s="200"/>
      <c r="AR32" s="201"/>
      <c r="AS32" s="199"/>
      <c r="AT32" s="200"/>
      <c r="AU32" s="200"/>
      <c r="AV32" s="200"/>
      <c r="AW32" s="200"/>
      <c r="AX32" s="201"/>
      <c r="AY32" s="254"/>
      <c r="AZ32" s="250"/>
      <c r="BA32" s="250"/>
      <c r="BB32" s="250"/>
      <c r="BC32" s="250"/>
      <c r="BD32" s="250"/>
      <c r="BE32" s="250"/>
      <c r="BF32" s="250"/>
      <c r="BG32" s="250"/>
      <c r="BH32" s="250"/>
      <c r="BI32" s="250"/>
      <c r="BJ32" s="250"/>
      <c r="BK32" s="250"/>
      <c r="BL32" s="250"/>
      <c r="BM32" s="250"/>
      <c r="BN32" s="250"/>
      <c r="BO32" s="250"/>
      <c r="BP32" s="250"/>
      <c r="BQ32" s="250"/>
      <c r="BR32" s="250"/>
      <c r="BS32" s="250"/>
      <c r="BT32" s="250"/>
      <c r="BU32" s="250"/>
      <c r="BV32" s="250"/>
      <c r="BW32" s="250"/>
      <c r="BY32" s="74" t="s">
        <v>239</v>
      </c>
      <c r="BZ32" s="75">
        <f>MAX(J5,L5,J7)</f>
        <v>0</v>
      </c>
      <c r="CA32" s="75">
        <f>MIN(K5,M5,K7)</f>
        <v>0</v>
      </c>
    </row>
    <row r="33" customHeight="1" spans="1:79">
      <c r="A33" s="92"/>
      <c r="B33" s="108" t="s">
        <v>240</v>
      </c>
      <c r="C33" s="109"/>
      <c r="D33" s="110" t="s">
        <v>195</v>
      </c>
      <c r="E33" s="109" t="s">
        <v>241</v>
      </c>
      <c r="F33" s="109"/>
      <c r="G33" s="110" t="s">
        <v>195</v>
      </c>
      <c r="H33" s="109" t="s">
        <v>242</v>
      </c>
      <c r="I33" s="109"/>
      <c r="J33" s="110" t="s">
        <v>195</v>
      </c>
      <c r="K33" s="109" t="s">
        <v>243</v>
      </c>
      <c r="L33" s="109"/>
      <c r="M33" s="110" t="s">
        <v>195</v>
      </c>
      <c r="N33" s="109" t="s">
        <v>244</v>
      </c>
      <c r="O33" s="109"/>
      <c r="P33" s="110" t="s">
        <v>195</v>
      </c>
      <c r="Q33" s="109" t="s">
        <v>245</v>
      </c>
      <c r="R33" s="109"/>
      <c r="S33" s="110" t="s">
        <v>195</v>
      </c>
      <c r="T33" s="109" t="s">
        <v>246</v>
      </c>
      <c r="U33" s="109"/>
      <c r="V33" s="110" t="s">
        <v>195</v>
      </c>
      <c r="W33" s="109" t="s">
        <v>247</v>
      </c>
      <c r="X33" s="109"/>
      <c r="Y33" s="203" t="s">
        <v>195</v>
      </c>
      <c r="AA33" s="204"/>
      <c r="AB33" s="205"/>
      <c r="AC33" s="205"/>
      <c r="AD33" s="205"/>
      <c r="AE33" s="205"/>
      <c r="AF33" s="205"/>
      <c r="AG33" s="216"/>
      <c r="AH33" s="216"/>
      <c r="AI33" s="216"/>
      <c r="AJ33" s="216"/>
      <c r="AK33" s="216"/>
      <c r="AL33" s="216"/>
      <c r="AM33" s="217"/>
      <c r="AN33" s="217"/>
      <c r="AO33" s="217"/>
      <c r="AP33" s="217"/>
      <c r="AQ33" s="229"/>
      <c r="AR33" s="230"/>
      <c r="AS33" s="217"/>
      <c r="AT33" s="217"/>
      <c r="AU33" s="217"/>
      <c r="AV33" s="217"/>
      <c r="AW33" s="255"/>
      <c r="AX33" s="230"/>
      <c r="AY33" s="254"/>
      <c r="BY33" s="74" t="s">
        <v>248</v>
      </c>
      <c r="BZ33" s="75">
        <f>MAX(N5,N7,L9)</f>
        <v>0</v>
      </c>
      <c r="CA33" s="75">
        <f>MIN(O5,O7,M9)</f>
        <v>0</v>
      </c>
    </row>
    <row r="34" customHeight="1" spans="1:79">
      <c r="A34" s="92"/>
      <c r="B34" s="105" t="s">
        <v>249</v>
      </c>
      <c r="C34" s="106"/>
      <c r="D34" s="107" t="s">
        <v>195</v>
      </c>
      <c r="E34" s="106" t="s">
        <v>250</v>
      </c>
      <c r="F34" s="106"/>
      <c r="G34" s="107" t="s">
        <v>195</v>
      </c>
      <c r="H34" s="106" t="s">
        <v>251</v>
      </c>
      <c r="I34" s="106"/>
      <c r="J34" s="107" t="s">
        <v>195</v>
      </c>
      <c r="K34" s="106" t="s">
        <v>252</v>
      </c>
      <c r="L34" s="106"/>
      <c r="M34" s="107" t="s">
        <v>195</v>
      </c>
      <c r="N34" s="106" t="s">
        <v>253</v>
      </c>
      <c r="O34" s="106"/>
      <c r="P34" s="107" t="s">
        <v>195</v>
      </c>
      <c r="Q34" s="106" t="s">
        <v>254</v>
      </c>
      <c r="R34" s="106"/>
      <c r="S34" s="107" t="s">
        <v>195</v>
      </c>
      <c r="T34" s="106" t="s">
        <v>255</v>
      </c>
      <c r="U34" s="106"/>
      <c r="V34" s="107" t="s">
        <v>195</v>
      </c>
      <c r="W34" s="106" t="s">
        <v>256</v>
      </c>
      <c r="X34" s="106"/>
      <c r="Y34" s="202" t="s">
        <v>195</v>
      </c>
      <c r="AA34" s="94" t="s">
        <v>257</v>
      </c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254"/>
      <c r="AZ34" s="238"/>
      <c r="BA34" s="238"/>
      <c r="BB34" s="238"/>
      <c r="BC34" s="238"/>
      <c r="BD34" s="238"/>
      <c r="BE34" s="238"/>
      <c r="BF34" s="238"/>
      <c r="BG34" s="238"/>
      <c r="BH34" s="238"/>
      <c r="BI34" s="238"/>
      <c r="BJ34" s="238"/>
      <c r="BK34" s="238"/>
      <c r="BL34" s="238"/>
      <c r="BM34" s="238"/>
      <c r="BN34" s="238"/>
      <c r="BO34" s="238"/>
      <c r="BP34" s="238"/>
      <c r="BQ34" s="238"/>
      <c r="BR34" s="238"/>
      <c r="BS34" s="238"/>
      <c r="BT34" s="238"/>
      <c r="BU34" s="238"/>
      <c r="BV34" s="238"/>
      <c r="BW34" s="238"/>
      <c r="BY34" s="74" t="s">
        <v>258</v>
      </c>
      <c r="BZ34" s="75">
        <f>MAX(J9,L7,N9)</f>
        <v>0</v>
      </c>
      <c r="CA34" s="75">
        <f>MIN(K9,M7,O9)</f>
        <v>0</v>
      </c>
    </row>
    <row r="35" customHeight="1" spans="2:75">
      <c r="B35" s="108" t="s">
        <v>259</v>
      </c>
      <c r="C35" s="109"/>
      <c r="D35" s="110" t="s">
        <v>195</v>
      </c>
      <c r="E35" s="109" t="s">
        <v>260</v>
      </c>
      <c r="F35" s="109"/>
      <c r="G35" s="110" t="s">
        <v>195</v>
      </c>
      <c r="H35" s="109" t="s">
        <v>261</v>
      </c>
      <c r="I35" s="109"/>
      <c r="J35" s="110" t="s">
        <v>195</v>
      </c>
      <c r="K35" s="109" t="s">
        <v>262</v>
      </c>
      <c r="L35" s="109"/>
      <c r="M35" s="110" t="s">
        <v>195</v>
      </c>
      <c r="N35" s="109" t="s">
        <v>263</v>
      </c>
      <c r="O35" s="109"/>
      <c r="P35" s="110" t="s">
        <v>195</v>
      </c>
      <c r="Q35" s="109" t="s">
        <v>264</v>
      </c>
      <c r="R35" s="109"/>
      <c r="S35" s="110" t="s">
        <v>195</v>
      </c>
      <c r="T35" s="109" t="s">
        <v>265</v>
      </c>
      <c r="U35" s="109"/>
      <c r="V35" s="110" t="s">
        <v>195</v>
      </c>
      <c r="W35" s="109" t="s">
        <v>266</v>
      </c>
      <c r="X35" s="109"/>
      <c r="Y35" s="203" t="s">
        <v>195</v>
      </c>
      <c r="AA35" s="204"/>
      <c r="AB35" s="205"/>
      <c r="AC35" s="205"/>
      <c r="AD35" s="205"/>
      <c r="AE35" s="205"/>
      <c r="AF35" s="205"/>
      <c r="AG35" s="216"/>
      <c r="AH35" s="216"/>
      <c r="AI35" s="216"/>
      <c r="AJ35" s="216"/>
      <c r="AK35" s="216"/>
      <c r="AL35" s="216"/>
      <c r="AM35" s="217"/>
      <c r="AN35" s="217"/>
      <c r="AO35" s="217"/>
      <c r="AP35" s="217"/>
      <c r="AQ35" s="229"/>
      <c r="AR35" s="230"/>
      <c r="AS35" s="217"/>
      <c r="AT35" s="217"/>
      <c r="AU35" s="217"/>
      <c r="AV35" s="217"/>
      <c r="AW35" s="255"/>
      <c r="AX35" s="230"/>
      <c r="AY35" s="254"/>
      <c r="AZ35" s="254"/>
      <c r="BA35" s="254"/>
      <c r="BB35" s="254"/>
      <c r="BC35" s="254"/>
      <c r="BD35" s="254"/>
      <c r="BE35" s="254"/>
      <c r="BF35" s="254"/>
      <c r="BG35" s="254"/>
      <c r="BH35" s="254"/>
      <c r="BI35" s="254"/>
      <c r="BJ35" s="254"/>
      <c r="BK35" s="254"/>
      <c r="BL35" s="254"/>
      <c r="BM35" s="254"/>
      <c r="BN35" s="254"/>
      <c r="BO35" s="254"/>
      <c r="BP35" s="254"/>
      <c r="BQ35" s="254"/>
      <c r="BR35" s="254"/>
      <c r="BS35" s="254"/>
      <c r="BT35" s="254"/>
      <c r="BU35" s="254"/>
      <c r="BV35" s="254"/>
      <c r="BW35" s="254"/>
    </row>
    <row r="36" customHeight="1" spans="24:75">
      <c r="X36" s="156"/>
      <c r="Y36" s="156"/>
      <c r="AA36" s="206" t="s">
        <v>267</v>
      </c>
      <c r="AB36" s="207"/>
      <c r="AC36" s="207"/>
      <c r="AD36" s="207"/>
      <c r="AE36" s="208" t="s">
        <v>268</v>
      </c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31"/>
      <c r="AS36" s="232"/>
      <c r="AT36" s="233"/>
      <c r="AU36" s="233"/>
      <c r="AV36" s="233"/>
      <c r="AW36" s="233"/>
      <c r="AX36" s="256"/>
      <c r="AZ36" s="254"/>
      <c r="BA36" s="254"/>
      <c r="BB36" s="254"/>
      <c r="BC36" s="254"/>
      <c r="BD36" s="254"/>
      <c r="BE36" s="254"/>
      <c r="BF36" s="254"/>
      <c r="BG36" s="254"/>
      <c r="BH36" s="254"/>
      <c r="BI36" s="254"/>
      <c r="BJ36" s="254"/>
      <c r="BK36" s="254"/>
      <c r="BL36" s="254"/>
      <c r="BM36" s="254"/>
      <c r="BN36" s="254"/>
      <c r="BO36" s="254"/>
      <c r="BP36" s="254"/>
      <c r="BQ36" s="254"/>
      <c r="BR36" s="254"/>
      <c r="BS36" s="254"/>
      <c r="BT36" s="254"/>
      <c r="BU36" s="254"/>
      <c r="BV36" s="254"/>
      <c r="BW36" s="254"/>
    </row>
    <row r="37" customHeight="1" spans="2:75">
      <c r="B37" s="94" t="s">
        <v>269</v>
      </c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AA37" s="207"/>
      <c r="AB37" s="207"/>
      <c r="AC37" s="207"/>
      <c r="AD37" s="207"/>
      <c r="AE37" s="210"/>
      <c r="AF37" s="211"/>
      <c r="AG37" s="211"/>
      <c r="AH37" s="211"/>
      <c r="AI37" s="211"/>
      <c r="AJ37" s="211"/>
      <c r="AK37" s="211"/>
      <c r="AL37" s="211"/>
      <c r="AM37" s="211"/>
      <c r="AN37" s="211"/>
      <c r="AO37" s="211"/>
      <c r="AP37" s="211"/>
      <c r="AQ37" s="211"/>
      <c r="AR37" s="234"/>
      <c r="AS37" s="235"/>
      <c r="AT37" s="236"/>
      <c r="AU37" s="236"/>
      <c r="AV37" s="236"/>
      <c r="AW37" s="236"/>
      <c r="AX37" s="257"/>
      <c r="AZ37" s="254"/>
      <c r="BA37" s="254"/>
      <c r="BB37" s="254"/>
      <c r="BC37" s="254"/>
      <c r="BD37" s="254"/>
      <c r="BE37" s="254"/>
      <c r="BF37" s="254"/>
      <c r="BG37" s="254"/>
      <c r="BH37" s="254"/>
      <c r="BI37" s="254"/>
      <c r="BJ37" s="254"/>
      <c r="BK37" s="254"/>
      <c r="BL37" s="254"/>
      <c r="BM37" s="254"/>
      <c r="BN37" s="254"/>
      <c r="BO37" s="254"/>
      <c r="BP37" s="254"/>
      <c r="BQ37" s="254"/>
      <c r="BR37" s="254"/>
      <c r="BS37" s="254"/>
      <c r="BT37" s="254"/>
      <c r="BU37" s="254"/>
      <c r="BV37" s="254"/>
      <c r="BW37" s="254"/>
    </row>
    <row r="38" customHeight="1" spans="2:75">
      <c r="B38" s="95"/>
      <c r="C38" s="95"/>
      <c r="D38" s="95"/>
      <c r="E38" s="95"/>
      <c r="F38" s="95"/>
      <c r="G38" s="95"/>
      <c r="H38" s="93"/>
      <c r="I38" s="93"/>
      <c r="J38" s="93"/>
      <c r="K38" s="93"/>
      <c r="L38" s="125"/>
      <c r="M38" s="125"/>
      <c r="N38" s="126"/>
      <c r="O38" s="126"/>
      <c r="P38" s="126"/>
      <c r="Q38" s="126"/>
      <c r="R38" s="126"/>
      <c r="S38" s="126"/>
      <c r="T38" s="126"/>
      <c r="U38" s="93"/>
      <c r="V38" s="93"/>
      <c r="W38" s="93"/>
      <c r="X38" s="93"/>
      <c r="Y38" s="93"/>
      <c r="AZ38" s="254"/>
      <c r="BA38" s="254"/>
      <c r="BB38" s="254"/>
      <c r="BC38" s="254"/>
      <c r="BD38" s="254"/>
      <c r="BE38" s="254"/>
      <c r="BF38" s="254"/>
      <c r="BG38" s="254"/>
      <c r="BH38" s="254"/>
      <c r="BI38" s="254"/>
      <c r="BJ38" s="254"/>
      <c r="BK38" s="254"/>
      <c r="BL38" s="254"/>
      <c r="BM38" s="254"/>
      <c r="BN38" s="254"/>
      <c r="BO38" s="254"/>
      <c r="BP38" s="254"/>
      <c r="BQ38" s="254"/>
      <c r="BR38" s="254"/>
      <c r="BS38" s="254"/>
      <c r="BT38" s="254"/>
      <c r="BU38" s="254"/>
      <c r="BV38" s="254"/>
      <c r="BW38" s="254"/>
    </row>
    <row r="39" customHeight="1" spans="2:75">
      <c r="B39" s="53" t="s">
        <v>270</v>
      </c>
      <c r="C39" s="54"/>
      <c r="D39" s="55" t="s">
        <v>271</v>
      </c>
      <c r="E39" s="56"/>
      <c r="F39" s="56"/>
      <c r="G39" s="56"/>
      <c r="H39" s="53"/>
      <c r="I39" s="54"/>
      <c r="J39" s="55"/>
      <c r="K39" s="56"/>
      <c r="L39" s="56"/>
      <c r="M39" s="56"/>
      <c r="N39" s="53"/>
      <c r="O39" s="54"/>
      <c r="P39" s="55"/>
      <c r="Q39" s="56"/>
      <c r="R39" s="56"/>
      <c r="S39" s="56"/>
      <c r="T39" s="53"/>
      <c r="U39" s="54"/>
      <c r="V39" s="55"/>
      <c r="W39" s="56"/>
      <c r="X39" s="56"/>
      <c r="Y39" s="56"/>
      <c r="AZ39" s="254"/>
      <c r="BA39" s="254"/>
      <c r="BB39" s="254"/>
      <c r="BC39" s="254"/>
      <c r="BD39" s="254"/>
      <c r="BE39" s="254"/>
      <c r="BF39" s="254"/>
      <c r="BG39" s="254"/>
      <c r="BH39" s="254"/>
      <c r="BI39" s="254"/>
      <c r="BJ39" s="254"/>
      <c r="BK39" s="254"/>
      <c r="BL39" s="254"/>
      <c r="BM39" s="254"/>
      <c r="BN39" s="254"/>
      <c r="BO39" s="254"/>
      <c r="BP39" s="254"/>
      <c r="BQ39" s="254"/>
      <c r="BR39" s="254"/>
      <c r="BS39" s="254"/>
      <c r="BT39" s="254"/>
      <c r="BU39" s="254"/>
      <c r="BV39" s="254"/>
      <c r="BW39" s="254"/>
    </row>
    <row r="40" customHeight="1" spans="2:75">
      <c r="B40" s="57"/>
      <c r="C40" s="58"/>
      <c r="D40" s="59"/>
      <c r="E40" s="59"/>
      <c r="F40" s="59"/>
      <c r="G40" s="67"/>
      <c r="H40" s="57"/>
      <c r="I40" s="58"/>
      <c r="J40" s="59"/>
      <c r="K40" s="59"/>
      <c r="L40" s="59"/>
      <c r="M40" s="67"/>
      <c r="N40" s="57"/>
      <c r="O40" s="58"/>
      <c r="P40" s="59"/>
      <c r="Q40" s="59"/>
      <c r="R40" s="59"/>
      <c r="S40" s="67"/>
      <c r="T40" s="57"/>
      <c r="U40" s="58"/>
      <c r="V40" s="59"/>
      <c r="W40" s="59"/>
      <c r="X40" s="59"/>
      <c r="Y40" s="67"/>
      <c r="AZ40" s="254"/>
      <c r="BA40" s="254"/>
      <c r="BB40" s="254"/>
      <c r="BC40" s="254"/>
      <c r="BD40" s="254"/>
      <c r="BE40" s="254"/>
      <c r="BF40" s="254"/>
      <c r="BG40" s="254"/>
      <c r="BH40" s="254"/>
      <c r="BI40" s="254"/>
      <c r="BJ40" s="254"/>
      <c r="BK40" s="254"/>
      <c r="BL40" s="254"/>
      <c r="BM40" s="254"/>
      <c r="BN40" s="254"/>
      <c r="BO40" s="254"/>
      <c r="BP40" s="254"/>
      <c r="BQ40" s="254"/>
      <c r="BR40" s="254"/>
      <c r="BS40" s="254"/>
      <c r="BT40" s="254"/>
      <c r="BU40" s="254"/>
      <c r="BV40" s="254"/>
      <c r="BW40" s="254"/>
    </row>
    <row r="41" customHeight="1" spans="2:75">
      <c r="B41" s="57"/>
      <c r="C41" s="58"/>
      <c r="D41" s="58"/>
      <c r="E41" s="58"/>
      <c r="F41" s="58"/>
      <c r="G41" s="68"/>
      <c r="H41" s="57"/>
      <c r="I41" s="58"/>
      <c r="J41" s="58"/>
      <c r="K41" s="58"/>
      <c r="L41" s="58"/>
      <c r="M41" s="68"/>
      <c r="N41" s="57"/>
      <c r="O41" s="58"/>
      <c r="P41" s="58"/>
      <c r="Q41" s="58"/>
      <c r="R41" s="58"/>
      <c r="S41" s="68"/>
      <c r="T41" s="57"/>
      <c r="U41" s="58"/>
      <c r="V41" s="58"/>
      <c r="W41" s="58"/>
      <c r="X41" s="58"/>
      <c r="Y41" s="68"/>
      <c r="AZ41" s="254"/>
      <c r="BA41" s="254"/>
      <c r="BB41" s="254"/>
      <c r="BC41" s="254"/>
      <c r="BD41" s="254"/>
      <c r="BE41" s="254"/>
      <c r="BF41" s="254"/>
      <c r="BG41" s="254"/>
      <c r="BH41" s="254"/>
      <c r="BI41" s="254"/>
      <c r="BJ41" s="254"/>
      <c r="BK41" s="254"/>
      <c r="BL41" s="254"/>
      <c r="BM41" s="254"/>
      <c r="BN41" s="254"/>
      <c r="BO41" s="254"/>
      <c r="BP41" s="254"/>
      <c r="BQ41" s="254"/>
      <c r="BR41" s="254"/>
      <c r="BS41" s="254"/>
      <c r="BT41" s="254"/>
      <c r="BU41" s="254"/>
      <c r="BV41" s="254"/>
      <c r="BW41" s="254"/>
    </row>
    <row r="42" customHeight="1" spans="2:75">
      <c r="B42" s="60"/>
      <c r="C42" s="61"/>
      <c r="D42" s="61"/>
      <c r="E42" s="61"/>
      <c r="F42" s="61"/>
      <c r="G42" s="69"/>
      <c r="H42" s="60"/>
      <c r="I42" s="61"/>
      <c r="J42" s="61"/>
      <c r="K42" s="61"/>
      <c r="L42" s="61"/>
      <c r="M42" s="69"/>
      <c r="N42" s="60"/>
      <c r="O42" s="61"/>
      <c r="P42" s="61"/>
      <c r="Q42" s="61"/>
      <c r="R42" s="61"/>
      <c r="S42" s="69"/>
      <c r="T42" s="60"/>
      <c r="U42" s="61"/>
      <c r="V42" s="61"/>
      <c r="W42" s="61"/>
      <c r="X42" s="61"/>
      <c r="Y42" s="69"/>
      <c r="AZ42" s="254"/>
      <c r="BA42" s="254"/>
      <c r="BB42" s="254"/>
      <c r="BC42" s="254"/>
      <c r="BD42" s="254"/>
      <c r="BE42" s="254"/>
      <c r="BF42" s="254"/>
      <c r="BG42" s="254"/>
      <c r="BH42" s="254"/>
      <c r="BI42" s="254"/>
      <c r="BJ42" s="254"/>
      <c r="BK42" s="254"/>
      <c r="BL42" s="254"/>
      <c r="BM42" s="254"/>
      <c r="BN42" s="254"/>
      <c r="BO42" s="254"/>
      <c r="BP42" s="254"/>
      <c r="BQ42" s="254"/>
      <c r="BR42" s="254"/>
      <c r="BS42" s="254"/>
      <c r="BT42" s="254"/>
      <c r="BU42" s="254"/>
      <c r="BV42" s="254"/>
      <c r="BW42" s="254"/>
    </row>
    <row r="43" customHeight="1" spans="2:25">
      <c r="B43" s="53"/>
      <c r="C43" s="54"/>
      <c r="D43" s="55"/>
      <c r="E43" s="56"/>
      <c r="F43" s="56"/>
      <c r="G43" s="56"/>
      <c r="H43" s="53"/>
      <c r="I43" s="54"/>
      <c r="J43" s="55"/>
      <c r="K43" s="56"/>
      <c r="L43" s="56"/>
      <c r="M43" s="56"/>
      <c r="N43" s="53"/>
      <c r="O43" s="54"/>
      <c r="P43" s="55"/>
      <c r="Q43" s="56"/>
      <c r="R43" s="56"/>
      <c r="S43" s="56"/>
      <c r="T43" s="53"/>
      <c r="U43" s="54"/>
      <c r="V43" s="55"/>
      <c r="W43" s="56"/>
      <c r="X43" s="56"/>
      <c r="Y43" s="56"/>
    </row>
    <row r="44" customHeight="1" spans="2:25">
      <c r="B44" s="57"/>
      <c r="C44" s="58"/>
      <c r="D44" s="59"/>
      <c r="E44" s="59"/>
      <c r="F44" s="59"/>
      <c r="G44" s="67"/>
      <c r="H44" s="57"/>
      <c r="I44" s="58"/>
      <c r="J44" s="59"/>
      <c r="K44" s="59"/>
      <c r="L44" s="59"/>
      <c r="M44" s="67"/>
      <c r="N44" s="57"/>
      <c r="O44" s="58"/>
      <c r="P44" s="59"/>
      <c r="Q44" s="59"/>
      <c r="R44" s="59"/>
      <c r="S44" s="67"/>
      <c r="T44" s="57"/>
      <c r="U44" s="58"/>
      <c r="V44" s="59"/>
      <c r="W44" s="59"/>
      <c r="X44" s="59"/>
      <c r="Y44" s="67"/>
    </row>
    <row r="45" customHeight="1" spans="2:25">
      <c r="B45" s="57"/>
      <c r="C45" s="58"/>
      <c r="D45" s="58"/>
      <c r="E45" s="58"/>
      <c r="F45" s="58"/>
      <c r="G45" s="68"/>
      <c r="H45" s="57"/>
      <c r="I45" s="58"/>
      <c r="J45" s="58"/>
      <c r="K45" s="58"/>
      <c r="L45" s="58"/>
      <c r="M45" s="68"/>
      <c r="N45" s="57"/>
      <c r="O45" s="58"/>
      <c r="P45" s="58"/>
      <c r="Q45" s="58"/>
      <c r="R45" s="58"/>
      <c r="S45" s="68"/>
      <c r="T45" s="57"/>
      <c r="U45" s="58"/>
      <c r="V45" s="58"/>
      <c r="W45" s="58"/>
      <c r="X45" s="58"/>
      <c r="Y45" s="68"/>
    </row>
    <row r="46" customHeight="1" spans="2:25">
      <c r="B46" s="60"/>
      <c r="C46" s="61"/>
      <c r="D46" s="61"/>
      <c r="E46" s="61"/>
      <c r="F46" s="61"/>
      <c r="G46" s="69"/>
      <c r="H46" s="60"/>
      <c r="I46" s="61"/>
      <c r="J46" s="61"/>
      <c r="K46" s="61"/>
      <c r="L46" s="61"/>
      <c r="M46" s="69"/>
      <c r="N46" s="60"/>
      <c r="O46" s="61"/>
      <c r="P46" s="61"/>
      <c r="Q46" s="61"/>
      <c r="R46" s="61"/>
      <c r="S46" s="69"/>
      <c r="T46" s="60"/>
      <c r="U46" s="61"/>
      <c r="V46" s="61"/>
      <c r="W46" s="61"/>
      <c r="X46" s="61"/>
      <c r="Y46" s="69"/>
    </row>
    <row r="47" customHeight="1" spans="2:25">
      <c r="B47" s="53"/>
      <c r="C47" s="54"/>
      <c r="D47" s="55"/>
      <c r="E47" s="56"/>
      <c r="F47" s="56"/>
      <c r="G47" s="56"/>
      <c r="H47" s="53"/>
      <c r="I47" s="54"/>
      <c r="J47" s="55"/>
      <c r="K47" s="56"/>
      <c r="L47" s="56"/>
      <c r="M47" s="56"/>
      <c r="N47" s="53"/>
      <c r="O47" s="54"/>
      <c r="P47" s="55"/>
      <c r="Q47" s="56"/>
      <c r="R47" s="56"/>
      <c r="S47" s="56"/>
      <c r="T47" s="53"/>
      <c r="U47" s="54"/>
      <c r="V47" s="55"/>
      <c r="W47" s="56"/>
      <c r="X47" s="56"/>
      <c r="Y47" s="56"/>
    </row>
    <row r="48" customHeight="1" spans="2:25">
      <c r="B48" s="57"/>
      <c r="C48" s="58"/>
      <c r="D48" s="59"/>
      <c r="E48" s="59"/>
      <c r="F48" s="59"/>
      <c r="G48" s="67"/>
      <c r="H48" s="57"/>
      <c r="I48" s="58"/>
      <c r="J48" s="59"/>
      <c r="K48" s="59"/>
      <c r="L48" s="59"/>
      <c r="M48" s="67"/>
      <c r="N48" s="57"/>
      <c r="O48" s="58"/>
      <c r="P48" s="59"/>
      <c r="Q48" s="59"/>
      <c r="R48" s="59"/>
      <c r="S48" s="67"/>
      <c r="T48" s="57"/>
      <c r="U48" s="58"/>
      <c r="V48" s="59"/>
      <c r="W48" s="59"/>
      <c r="X48" s="59"/>
      <c r="Y48" s="67"/>
    </row>
    <row r="49" customHeight="1" spans="2:25">
      <c r="B49" s="57"/>
      <c r="C49" s="58"/>
      <c r="D49" s="58"/>
      <c r="E49" s="58"/>
      <c r="F49" s="58"/>
      <c r="G49" s="68"/>
      <c r="H49" s="57"/>
      <c r="I49" s="58"/>
      <c r="J49" s="58"/>
      <c r="K49" s="58"/>
      <c r="L49" s="58"/>
      <c r="M49" s="68"/>
      <c r="N49" s="57"/>
      <c r="O49" s="58"/>
      <c r="P49" s="58"/>
      <c r="Q49" s="58"/>
      <c r="R49" s="58"/>
      <c r="S49" s="68"/>
      <c r="T49" s="57"/>
      <c r="U49" s="58"/>
      <c r="V49" s="58"/>
      <c r="W49" s="58"/>
      <c r="X49" s="58"/>
      <c r="Y49" s="68"/>
    </row>
    <row r="50" customHeight="1" spans="2:25">
      <c r="B50" s="60"/>
      <c r="C50" s="61"/>
      <c r="D50" s="61"/>
      <c r="E50" s="61"/>
      <c r="F50" s="61"/>
      <c r="G50" s="69"/>
      <c r="H50" s="60"/>
      <c r="I50" s="61"/>
      <c r="J50" s="61"/>
      <c r="K50" s="61"/>
      <c r="L50" s="61"/>
      <c r="M50" s="69"/>
      <c r="N50" s="60"/>
      <c r="O50" s="61"/>
      <c r="P50" s="61"/>
      <c r="Q50" s="61"/>
      <c r="R50" s="61"/>
      <c r="S50" s="69"/>
      <c r="T50" s="60"/>
      <c r="U50" s="61"/>
      <c r="V50" s="61"/>
      <c r="W50" s="61"/>
      <c r="X50" s="61"/>
      <c r="Y50" s="69"/>
    </row>
  </sheetData>
  <sheetProtection selectLockedCells="1"/>
  <mergeCells count="393">
    <mergeCell ref="B2:U2"/>
    <mergeCell ref="V2:W2"/>
    <mergeCell ref="X2:Y2"/>
    <mergeCell ref="AA2:AR2"/>
    <mergeCell ref="AS2:AT2"/>
    <mergeCell ref="AU2:AV2"/>
    <mergeCell ref="AW2:AX2"/>
    <mergeCell ref="AZ2:BQ2"/>
    <mergeCell ref="BR2:BS2"/>
    <mergeCell ref="BT2:BW2"/>
    <mergeCell ref="B3:C3"/>
    <mergeCell ref="D3:I3"/>
    <mergeCell ref="J3:K3"/>
    <mergeCell ref="L3:M3"/>
    <mergeCell ref="AA3:AB3"/>
    <mergeCell ref="AE3:AH3"/>
    <mergeCell ref="AZ3:BC3"/>
    <mergeCell ref="BF3:BI3"/>
    <mergeCell ref="BL3:BO3"/>
    <mergeCell ref="BR3:BU3"/>
    <mergeCell ref="B4:C4"/>
    <mergeCell ref="D4:I4"/>
    <mergeCell ref="J4:K4"/>
    <mergeCell ref="L4:M4"/>
    <mergeCell ref="N4:O4"/>
    <mergeCell ref="V4:W4"/>
    <mergeCell ref="X4:Y4"/>
    <mergeCell ref="AA4:AB4"/>
    <mergeCell ref="AC4:AD4"/>
    <mergeCell ref="AI4:AJ4"/>
    <mergeCell ref="AK4:AL4"/>
    <mergeCell ref="AM4:AN4"/>
    <mergeCell ref="AO4:AP4"/>
    <mergeCell ref="AQ4:AR4"/>
    <mergeCell ref="AZ4:BC4"/>
    <mergeCell ref="BF4:BI4"/>
    <mergeCell ref="BL4:BO4"/>
    <mergeCell ref="BR4:BU4"/>
    <mergeCell ref="B5:C5"/>
    <mergeCell ref="D5:I5"/>
    <mergeCell ref="J5:K5"/>
    <mergeCell ref="L5:M5"/>
    <mergeCell ref="N5:O5"/>
    <mergeCell ref="V5:W5"/>
    <mergeCell ref="X5:Y5"/>
    <mergeCell ref="AA5:AD5"/>
    <mergeCell ref="AE5:AX5"/>
    <mergeCell ref="AZ5:BC5"/>
    <mergeCell ref="BF5:BI5"/>
    <mergeCell ref="BL5:BO5"/>
    <mergeCell ref="BR5:BU5"/>
    <mergeCell ref="B6:C6"/>
    <mergeCell ref="D6:I6"/>
    <mergeCell ref="J6:K6"/>
    <mergeCell ref="L6:M6"/>
    <mergeCell ref="N6:O6"/>
    <mergeCell ref="P6:Q6"/>
    <mergeCell ref="R6:S6"/>
    <mergeCell ref="T6:U6"/>
    <mergeCell ref="V6:W6"/>
    <mergeCell ref="X6:Y6"/>
    <mergeCell ref="AA6:AB6"/>
    <mergeCell ref="AD6:AE6"/>
    <mergeCell ref="AG6:AH6"/>
    <mergeCell ref="AJ6:AK6"/>
    <mergeCell ref="AM6:AN6"/>
    <mergeCell ref="AP6:AQ6"/>
    <mergeCell ref="AS6:AT6"/>
    <mergeCell ref="AV6:AW6"/>
    <mergeCell ref="AZ6:BC6"/>
    <mergeCell ref="BF6:BI6"/>
    <mergeCell ref="BL6:BO6"/>
    <mergeCell ref="BR6:BU6"/>
    <mergeCell ref="B7:C7"/>
    <mergeCell ref="D7:I7"/>
    <mergeCell ref="J7:K7"/>
    <mergeCell ref="L7:M7"/>
    <mergeCell ref="N7:O7"/>
    <mergeCell ref="V7:W7"/>
    <mergeCell ref="X7:Y7"/>
    <mergeCell ref="AA7:AB7"/>
    <mergeCell ref="AD7:AE7"/>
    <mergeCell ref="AG7:AH7"/>
    <mergeCell ref="AJ7:AK7"/>
    <mergeCell ref="AM7:AN7"/>
    <mergeCell ref="AP7:AQ7"/>
    <mergeCell ref="AS7:AT7"/>
    <mergeCell ref="AV7:AW7"/>
    <mergeCell ref="AZ7:BC7"/>
    <mergeCell ref="BF7:BI7"/>
    <mergeCell ref="BL7:BO7"/>
    <mergeCell ref="BR7:BU7"/>
    <mergeCell ref="B8:C8"/>
    <mergeCell ref="D8:I8"/>
    <mergeCell ref="J8:K8"/>
    <mergeCell ref="L8:M8"/>
    <mergeCell ref="N8:O8"/>
    <mergeCell ref="V8:W8"/>
    <mergeCell ref="X8:Y8"/>
    <mergeCell ref="AA8:AB8"/>
    <mergeCell ref="AD8:AE8"/>
    <mergeCell ref="AG8:AH8"/>
    <mergeCell ref="AJ8:AK8"/>
    <mergeCell ref="AM8:AN8"/>
    <mergeCell ref="AP8:AQ8"/>
    <mergeCell ref="AS8:AT8"/>
    <mergeCell ref="AV8:AW8"/>
    <mergeCell ref="AZ8:BC8"/>
    <mergeCell ref="BF8:BI8"/>
    <mergeCell ref="BL8:BO8"/>
    <mergeCell ref="BR8:BU8"/>
    <mergeCell ref="B9:C9"/>
    <mergeCell ref="D9:I9"/>
    <mergeCell ref="J9:K9"/>
    <mergeCell ref="L9:M9"/>
    <mergeCell ref="N9:O9"/>
    <mergeCell ref="P9:Q9"/>
    <mergeCell ref="R9:S9"/>
    <mergeCell ref="T9:U9"/>
    <mergeCell ref="V9:W9"/>
    <mergeCell ref="X9:Y9"/>
    <mergeCell ref="AA9:AB9"/>
    <mergeCell ref="AD9:AE9"/>
    <mergeCell ref="AG9:AH9"/>
    <mergeCell ref="AJ9:AK9"/>
    <mergeCell ref="AM9:AN9"/>
    <mergeCell ref="AP9:AQ9"/>
    <mergeCell ref="AS9:AT9"/>
    <mergeCell ref="AV9:AW9"/>
    <mergeCell ref="AZ9:BC9"/>
    <mergeCell ref="BF9:BI9"/>
    <mergeCell ref="BL9:BO9"/>
    <mergeCell ref="BR9:BU9"/>
    <mergeCell ref="AA10:AB10"/>
    <mergeCell ref="AD10:AE10"/>
    <mergeCell ref="AG10:AH10"/>
    <mergeCell ref="AJ10:AK10"/>
    <mergeCell ref="AM10:AN10"/>
    <mergeCell ref="AP10:AQ10"/>
    <mergeCell ref="AS10:AT10"/>
    <mergeCell ref="AV10:AW10"/>
    <mergeCell ref="AZ10:BC10"/>
    <mergeCell ref="BF10:BI10"/>
    <mergeCell ref="BL10:BO10"/>
    <mergeCell ref="BR10:BU10"/>
    <mergeCell ref="B11:Y11"/>
    <mergeCell ref="AA11:AB11"/>
    <mergeCell ref="AD11:AE11"/>
    <mergeCell ref="AG11:AH11"/>
    <mergeCell ref="AJ11:AK11"/>
    <mergeCell ref="AM11:AN11"/>
    <mergeCell ref="AP11:AQ11"/>
    <mergeCell ref="AS11:AT11"/>
    <mergeCell ref="AV11:AW11"/>
    <mergeCell ref="AZ11:BC11"/>
    <mergeCell ref="BF11:BI11"/>
    <mergeCell ref="BL11:BO11"/>
    <mergeCell ref="BR11:BU11"/>
    <mergeCell ref="AA12:AB12"/>
    <mergeCell ref="AD12:AE12"/>
    <mergeCell ref="AG12:AH12"/>
    <mergeCell ref="AJ12:AK12"/>
    <mergeCell ref="AM12:AN12"/>
    <mergeCell ref="AP12:AQ12"/>
    <mergeCell ref="AS12:AT12"/>
    <mergeCell ref="AV12:AW12"/>
    <mergeCell ref="AZ12:BC12"/>
    <mergeCell ref="BF12:BI12"/>
    <mergeCell ref="BL12:BO12"/>
    <mergeCell ref="BR12:BU12"/>
    <mergeCell ref="D13:G13"/>
    <mergeCell ref="J13:M13"/>
    <mergeCell ref="P13:S13"/>
    <mergeCell ref="T13:U13"/>
    <mergeCell ref="V13:Y13"/>
    <mergeCell ref="AA13:AB13"/>
    <mergeCell ref="AD13:AE13"/>
    <mergeCell ref="AG13:AH13"/>
    <mergeCell ref="AJ13:AK13"/>
    <mergeCell ref="AM13:AN13"/>
    <mergeCell ref="AP13:AQ13"/>
    <mergeCell ref="AS13:AT13"/>
    <mergeCell ref="AV13:AW13"/>
    <mergeCell ref="AZ13:BC13"/>
    <mergeCell ref="BF13:BI13"/>
    <mergeCell ref="BL13:BO13"/>
    <mergeCell ref="BR13:BU13"/>
    <mergeCell ref="T14:W14"/>
    <mergeCell ref="T15:W15"/>
    <mergeCell ref="AA15:AR15"/>
    <mergeCell ref="AS15:AT15"/>
    <mergeCell ref="AU15:AV15"/>
    <mergeCell ref="AW15:AX15"/>
    <mergeCell ref="AZ15:BQ15"/>
    <mergeCell ref="BR15:BW15"/>
    <mergeCell ref="T16:W16"/>
    <mergeCell ref="D17:G17"/>
    <mergeCell ref="J17:M17"/>
    <mergeCell ref="P17:S17"/>
    <mergeCell ref="T17:W17"/>
    <mergeCell ref="AA17:AB17"/>
    <mergeCell ref="AC17:AF17"/>
    <mergeCell ref="AG17:AH17"/>
    <mergeCell ref="AI17:AL17"/>
    <mergeCell ref="AM17:AN17"/>
    <mergeCell ref="AO17:AR17"/>
    <mergeCell ref="AS17:AT17"/>
    <mergeCell ref="AU17:AX17"/>
    <mergeCell ref="T18:W18"/>
    <mergeCell ref="T19:W19"/>
    <mergeCell ref="T20:W20"/>
    <mergeCell ref="D21:G21"/>
    <mergeCell ref="J21:M21"/>
    <mergeCell ref="P21:S21"/>
    <mergeCell ref="T21:W21"/>
    <mergeCell ref="AA21:AB21"/>
    <mergeCell ref="AC21:AF21"/>
    <mergeCell ref="AG21:AH21"/>
    <mergeCell ref="AI21:AL21"/>
    <mergeCell ref="AM21:AN21"/>
    <mergeCell ref="AO21:AR21"/>
    <mergeCell ref="AS21:AT21"/>
    <mergeCell ref="AU21:AX21"/>
    <mergeCell ref="T22:W22"/>
    <mergeCell ref="T23:W23"/>
    <mergeCell ref="T24:W24"/>
    <mergeCell ref="R25:S25"/>
    <mergeCell ref="T25:U25"/>
    <mergeCell ref="V25:W25"/>
    <mergeCell ref="X25:Y25"/>
    <mergeCell ref="AA25:AE25"/>
    <mergeCell ref="AG25:AK25"/>
    <mergeCell ref="AM25:AQ25"/>
    <mergeCell ref="AS25:AW25"/>
    <mergeCell ref="B26:Y26"/>
    <mergeCell ref="B28:C28"/>
    <mergeCell ref="E28:F28"/>
    <mergeCell ref="H28:I28"/>
    <mergeCell ref="K28:L28"/>
    <mergeCell ref="N28:O28"/>
    <mergeCell ref="Q28:R28"/>
    <mergeCell ref="T28:U28"/>
    <mergeCell ref="W28:X28"/>
    <mergeCell ref="B29:C29"/>
    <mergeCell ref="E29:F29"/>
    <mergeCell ref="H29:I29"/>
    <mergeCell ref="K29:L29"/>
    <mergeCell ref="N29:O29"/>
    <mergeCell ref="Q29:R29"/>
    <mergeCell ref="T29:U29"/>
    <mergeCell ref="W29:X29"/>
    <mergeCell ref="AA29:AE29"/>
    <mergeCell ref="AG29:AK29"/>
    <mergeCell ref="AM29:AQ29"/>
    <mergeCell ref="AS29:AW29"/>
    <mergeCell ref="B30:C30"/>
    <mergeCell ref="E30:F30"/>
    <mergeCell ref="H30:I30"/>
    <mergeCell ref="K30:L30"/>
    <mergeCell ref="N30:O30"/>
    <mergeCell ref="Q30:R30"/>
    <mergeCell ref="T30:U30"/>
    <mergeCell ref="W30:X30"/>
    <mergeCell ref="B31:C31"/>
    <mergeCell ref="E31:F31"/>
    <mergeCell ref="H31:I31"/>
    <mergeCell ref="K31:L31"/>
    <mergeCell ref="N31:O31"/>
    <mergeCell ref="Q31:R31"/>
    <mergeCell ref="T31:U31"/>
    <mergeCell ref="W31:X31"/>
    <mergeCell ref="B32:C32"/>
    <mergeCell ref="E32:F32"/>
    <mergeCell ref="H32:I32"/>
    <mergeCell ref="K32:L32"/>
    <mergeCell ref="N32:O32"/>
    <mergeCell ref="Q32:R32"/>
    <mergeCell ref="T32:U32"/>
    <mergeCell ref="W32:X32"/>
    <mergeCell ref="B33:C33"/>
    <mergeCell ref="E33:F33"/>
    <mergeCell ref="H33:I33"/>
    <mergeCell ref="K33:L33"/>
    <mergeCell ref="N33:O33"/>
    <mergeCell ref="Q33:R33"/>
    <mergeCell ref="T33:U33"/>
    <mergeCell ref="W33:X33"/>
    <mergeCell ref="B34:C34"/>
    <mergeCell ref="E34:F34"/>
    <mergeCell ref="H34:I34"/>
    <mergeCell ref="K34:L34"/>
    <mergeCell ref="N34:O34"/>
    <mergeCell ref="Q34:R34"/>
    <mergeCell ref="T34:U34"/>
    <mergeCell ref="W34:X34"/>
    <mergeCell ref="AA34:AX34"/>
    <mergeCell ref="B35:C35"/>
    <mergeCell ref="E35:F35"/>
    <mergeCell ref="H35:I35"/>
    <mergeCell ref="K35:L35"/>
    <mergeCell ref="N35:O35"/>
    <mergeCell ref="Q35:R35"/>
    <mergeCell ref="T35:U35"/>
    <mergeCell ref="W35:X35"/>
    <mergeCell ref="B37:Y37"/>
    <mergeCell ref="B39:C39"/>
    <mergeCell ref="D39:G39"/>
    <mergeCell ref="H39:I39"/>
    <mergeCell ref="J39:M39"/>
    <mergeCell ref="N39:O39"/>
    <mergeCell ref="P39:S39"/>
    <mergeCell ref="T39:U39"/>
    <mergeCell ref="V39:Y39"/>
    <mergeCell ref="B43:C43"/>
    <mergeCell ref="D43:G43"/>
    <mergeCell ref="H43:I43"/>
    <mergeCell ref="J43:M43"/>
    <mergeCell ref="N43:O43"/>
    <mergeCell ref="P43:S43"/>
    <mergeCell ref="T43:U43"/>
    <mergeCell ref="V43:Y43"/>
    <mergeCell ref="B47:C47"/>
    <mergeCell ref="D47:G47"/>
    <mergeCell ref="H47:I47"/>
    <mergeCell ref="J47:M47"/>
    <mergeCell ref="N47:O47"/>
    <mergeCell ref="P47:S47"/>
    <mergeCell ref="T47:U47"/>
    <mergeCell ref="V47:Y47"/>
    <mergeCell ref="BR28:BW30"/>
    <mergeCell ref="AA30:AF32"/>
    <mergeCell ref="AG30:AL32"/>
    <mergeCell ref="AM30:AR32"/>
    <mergeCell ref="AS30:AX32"/>
    <mergeCell ref="BR17:BW18"/>
    <mergeCell ref="BD28:BQ30"/>
    <mergeCell ref="BD21:BQ22"/>
    <mergeCell ref="BR19:BW20"/>
    <mergeCell ref="BR25:BW27"/>
    <mergeCell ref="B22:G24"/>
    <mergeCell ref="H22:M24"/>
    <mergeCell ref="N22:S24"/>
    <mergeCell ref="AZ23:BC24"/>
    <mergeCell ref="AA22:AF24"/>
    <mergeCell ref="AG22:AL24"/>
    <mergeCell ref="AM22:AR24"/>
    <mergeCell ref="AS22:AX24"/>
    <mergeCell ref="BR21:BW22"/>
    <mergeCell ref="AE36:AR37"/>
    <mergeCell ref="BD19:BQ20"/>
    <mergeCell ref="AZ25:BC27"/>
    <mergeCell ref="AA26:AF28"/>
    <mergeCell ref="AG26:AL28"/>
    <mergeCell ref="AM26:AR28"/>
    <mergeCell ref="AS26:AX28"/>
    <mergeCell ref="AZ19:BC20"/>
    <mergeCell ref="BD17:BQ18"/>
    <mergeCell ref="AA18:AF20"/>
    <mergeCell ref="AG18:AL20"/>
    <mergeCell ref="AM18:AR20"/>
    <mergeCell ref="AS18:AX20"/>
    <mergeCell ref="B14:G16"/>
    <mergeCell ref="H14:M16"/>
    <mergeCell ref="N14:S16"/>
    <mergeCell ref="B48:G50"/>
    <mergeCell ref="H48:M50"/>
    <mergeCell ref="N48:S50"/>
    <mergeCell ref="T48:Y50"/>
    <mergeCell ref="AZ17:BC18"/>
    <mergeCell ref="BR23:BW24"/>
    <mergeCell ref="BD23:BQ24"/>
    <mergeCell ref="AZ21:BC22"/>
    <mergeCell ref="AZ28:BC30"/>
    <mergeCell ref="AS36:AX37"/>
    <mergeCell ref="B40:G42"/>
    <mergeCell ref="H40:M42"/>
    <mergeCell ref="N40:S42"/>
    <mergeCell ref="T40:Y42"/>
    <mergeCell ref="B44:G46"/>
    <mergeCell ref="H44:M46"/>
    <mergeCell ref="N44:S46"/>
    <mergeCell ref="T44:Y46"/>
    <mergeCell ref="BD25:BQ27"/>
    <mergeCell ref="AA36:AD37"/>
    <mergeCell ref="B18:G20"/>
    <mergeCell ref="H18:M20"/>
    <mergeCell ref="N18:S20"/>
    <mergeCell ref="P7:Q8"/>
    <mergeCell ref="R7:S8"/>
    <mergeCell ref="T7:U8"/>
    <mergeCell ref="P4:Q5"/>
    <mergeCell ref="R4:S5"/>
    <mergeCell ref="T4:U5"/>
  </mergeCells>
  <dataValidations count="6">
    <dataValidation type="list" allowBlank="1" showInputMessage="1" showErrorMessage="1" sqref="CG3">
      <formula1>$DB$2:$DB$4</formula1>
    </dataValidation>
    <dataValidation type="list" allowBlank="1" showInputMessage="1" showErrorMessage="1" sqref="CH3">
      <formula1>$DC$2:$DC$22</formula1>
    </dataValidation>
    <dataValidation type="list" allowBlank="1" showInputMessage="1" showErrorMessage="1" sqref="AC17:AF17">
      <formula1>查询附表!$W$1:$W$10</formula1>
    </dataValidation>
    <dataValidation type="list" allowBlank="1" showInputMessage="1" showErrorMessage="1" sqref="AI17">
      <formula1>查询附表!$AC$1:$AC$25</formula1>
    </dataValidation>
    <dataValidation type="list" allowBlank="1" showInputMessage="1" showErrorMessage="1" sqref="AO17:AR17">
      <formula1>查询附表!$Z$1:$Z$4</formula1>
    </dataValidation>
    <dataValidation type="whole" operator="between" allowBlank="1" showInputMessage="1" showErrorMessage="1" sqref="AC6:AC12 AF6:AF12 AI6:AI12 AL6:AL12 AO6:AO12 AR6:AR12 AU6:AU12 AX6:AY12">
      <formula1>-1</formula1>
      <formula2>8</formula2>
    </dataValidation>
  </dataValidation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6"/>
  <sheetViews>
    <sheetView showGridLines="0" zoomScale="78" zoomScaleNormal="78" workbookViewId="0">
      <selection activeCell="J23" sqref="J23"/>
    </sheetView>
  </sheetViews>
  <sheetFormatPr defaultColWidth="9" defaultRowHeight="18" customHeight="1"/>
  <cols>
    <col min="1" max="1" width="10" style="12" customWidth="1"/>
    <col min="2" max="2" width="12.25" style="12" customWidth="1"/>
    <col min="3" max="3" width="3.25" style="12" customWidth="1"/>
    <col min="4" max="4" width="6.25" style="12" customWidth="1"/>
    <col min="5" max="5" width="24.25" style="12" customWidth="1"/>
    <col min="6" max="12" width="4" style="18" customWidth="1"/>
    <col min="13" max="13" width="3.625" style="12"/>
    <col min="14" max="14" width="12.25" style="12" customWidth="1"/>
    <col min="15" max="17" width="6.25" style="12" customWidth="1"/>
    <col min="18" max="18" width="24.25" style="12"/>
    <col min="19" max="19" width="3.625" style="19"/>
    <col min="20" max="26" width="3.625" style="19" customWidth="1"/>
    <col min="27" max="27" width="9" style="12"/>
    <col min="28" max="29" width="9.625" style="12"/>
    <col min="30" max="30" width="3.625" style="12"/>
    <col min="31" max="31" width="9.625" style="12"/>
    <col min="32" max="16384" width="9" style="12"/>
  </cols>
  <sheetData>
    <row r="1" customHeight="1" spans="1:1">
      <c r="A1" s="20"/>
    </row>
    <row r="2" customHeight="1" spans="2:31">
      <c r="B2" s="21" t="s">
        <v>272</v>
      </c>
      <c r="C2" s="21"/>
      <c r="D2" s="21"/>
      <c r="E2" s="22"/>
      <c r="N2" s="21" t="s">
        <v>273</v>
      </c>
      <c r="O2" s="21"/>
      <c r="P2" s="21"/>
      <c r="Q2" s="51"/>
      <c r="R2" s="22"/>
      <c r="AB2" s="21" t="s">
        <v>274</v>
      </c>
      <c r="AC2" s="66"/>
      <c r="AD2" s="66"/>
      <c r="AE2" s="66"/>
    </row>
    <row r="3" customHeight="1" spans="2:31">
      <c r="B3" s="23" t="s">
        <v>275</v>
      </c>
      <c r="C3" s="23" t="s">
        <v>23</v>
      </c>
      <c r="D3" s="23" t="s">
        <v>276</v>
      </c>
      <c r="E3" s="24" t="s">
        <v>277</v>
      </c>
      <c r="F3" s="24"/>
      <c r="G3" s="25" t="s">
        <v>278</v>
      </c>
      <c r="H3" s="25"/>
      <c r="I3" s="25"/>
      <c r="J3" s="25"/>
      <c r="K3" s="25"/>
      <c r="L3" s="25"/>
      <c r="N3" s="23" t="s">
        <v>279</v>
      </c>
      <c r="O3" s="23" t="s">
        <v>280</v>
      </c>
      <c r="P3" s="23" t="s">
        <v>281</v>
      </c>
      <c r="Q3" s="23" t="s">
        <v>204</v>
      </c>
      <c r="R3" s="23" t="s">
        <v>277</v>
      </c>
      <c r="S3" s="19">
        <f>INT(SUM(P4:P12)*10-S7*100000000-S6*1000000-S5*10000-S4*100)</f>
        <v>0</v>
      </c>
      <c r="U3" s="25" t="s">
        <v>282</v>
      </c>
      <c r="V3" s="25"/>
      <c r="W3" s="25"/>
      <c r="X3" s="25"/>
      <c r="Y3" s="25"/>
      <c r="Z3" s="25"/>
      <c r="AB3" s="23" t="s">
        <v>283</v>
      </c>
      <c r="AC3" s="23" t="s">
        <v>284</v>
      </c>
      <c r="AD3" s="23" t="s">
        <v>285</v>
      </c>
      <c r="AE3" s="23" t="s">
        <v>286</v>
      </c>
    </row>
    <row r="4" customHeight="1" spans="1:31">
      <c r="A4" s="26" t="s">
        <v>287</v>
      </c>
      <c r="B4" s="27" t="s">
        <v>288</v>
      </c>
      <c r="C4" s="27">
        <v>3</v>
      </c>
      <c r="D4" s="28">
        <f>IF(B4="","",VLOOKUP(B4,查询附表!I:O,C4*2,0))</f>
        <v>9</v>
      </c>
      <c r="E4" s="29" t="str">
        <f>IF(B4="","",VLOOKUP(B4,查询附表!I:O,C4*2+1,0))</f>
        <v>施加流血前，施加流血区间+[1,3]</v>
      </c>
      <c r="F4" s="29"/>
      <c r="G4" s="30" t="str">
        <f>B4&amp;" "&amp;ROMAN(C4)</f>
        <v>撕裂 III</v>
      </c>
      <c r="H4" s="30"/>
      <c r="I4" s="30"/>
      <c r="J4" s="30"/>
      <c r="K4" s="30"/>
      <c r="L4" s="44">
        <f>D4</f>
        <v>9</v>
      </c>
      <c r="N4" s="27" t="s">
        <v>289</v>
      </c>
      <c r="O4" s="27">
        <v>1</v>
      </c>
      <c r="P4" s="45">
        <f>IF(N4="","",VLOOKUP(N4,查询附表!R:U,2,0)*O4)</f>
        <v>650</v>
      </c>
      <c r="Q4" s="28">
        <f>IF(N4="","",VLOOKUP(N4,查询附表!$R:$U,3,0)*O4)</f>
        <v>8</v>
      </c>
      <c r="R4" s="52" t="str">
        <f>IF(N4="","",VLOOKUP(N4,查询附表!R:U,4,0))</f>
        <v>[目标装备护甲时] 威力-1
[招架行动时] 威力-1
突刺2-6 [命中时] 30%施加破裂I 1-3</v>
      </c>
      <c r="S4" s="19">
        <f>INT(SUM(P4:P12)/10-S7*1000000-S6*10000-S5*100)</f>
        <v>0</v>
      </c>
      <c r="U4" s="53" t="s">
        <v>128</v>
      </c>
      <c r="V4" s="54">
        <f>Q4</f>
        <v>8</v>
      </c>
      <c r="W4" s="55" t="str">
        <f>N4</f>
        <v>刺剑</v>
      </c>
      <c r="X4" s="56"/>
      <c r="Y4" s="56"/>
      <c r="Z4" s="56"/>
      <c r="AB4" s="27" t="s">
        <v>290</v>
      </c>
      <c r="AC4" s="27"/>
      <c r="AD4" s="28">
        <f>IF(AB4="",IF(AC4="","",VLOOKUP(AC4,查询附表!B:F,5,0)),VLOOKUP(AB4,查询附表!B:F,5,0))</f>
        <v>48</v>
      </c>
      <c r="AE4" s="28" t="str">
        <f>IF(AB4="",IF(AC4="","",VLOOKUP(AC4,查询附表!B:F,2,0)),VLOOKUP(AB4,查询附表!B:F,2,0))</f>
        <v>耐性x智慧</v>
      </c>
    </row>
    <row r="5" customHeight="1" spans="1:31">
      <c r="A5" s="26" t="s">
        <v>291</v>
      </c>
      <c r="B5" s="27" t="s">
        <v>292</v>
      </c>
      <c r="C5" s="27">
        <v>2</v>
      </c>
      <c r="D5" s="28">
        <f>IF(B5="","",VLOOKUP(B5,查询附表!I:O,C5*2,0))</f>
        <v>11</v>
      </c>
      <c r="E5" s="29" t="str">
        <f>IF(B5="","",VLOOKUP(B5,查询附表!I:O,C5*2+1,0))</f>
        <v>施加流血前，施加流血等级+2</v>
      </c>
      <c r="F5" s="29"/>
      <c r="G5" s="31" t="str">
        <f>E4</f>
        <v>施加流血前，施加流血区间+[1,3]</v>
      </c>
      <c r="H5" s="32"/>
      <c r="I5" s="32"/>
      <c r="J5" s="32"/>
      <c r="K5" s="32"/>
      <c r="L5" s="46"/>
      <c r="N5" s="27" t="s">
        <v>293</v>
      </c>
      <c r="O5" s="27">
        <v>1</v>
      </c>
      <c r="P5" s="45">
        <f>IF(N5="","",VLOOKUP(N5,查询附表!R:U,2,0)*O5)</f>
        <v>750</v>
      </c>
      <c r="Q5" s="28">
        <f>IF(N5="","",VLOOKUP(N5,查询附表!$R:$U,3,0)*O5)</f>
        <v>6</v>
      </c>
      <c r="R5" s="52" t="str">
        <f>IF(N5="","",VLOOKUP(N5,查询附表!R:U,4,0))</f>
        <v>物理护甲0.5 魔法护甲0.7</v>
      </c>
      <c r="S5" s="19">
        <f>INT(SUM(P4:P12)/1000-S7*10000-S6*100)</f>
        <v>2</v>
      </c>
      <c r="U5" s="57" t="str">
        <f>R4</f>
        <v>[目标装备护甲时] 威力-1
[招架行动时] 威力-1
突刺2-6 [命中时] 30%施加破裂I 1-3</v>
      </c>
      <c r="V5" s="58"/>
      <c r="W5" s="59"/>
      <c r="X5" s="59"/>
      <c r="Y5" s="59"/>
      <c r="Z5" s="67"/>
      <c r="AB5" s="39" t="str">
        <f>IF(AB4="",IF(AC4="","",VLOOKUP(AC4,查询附表!B:F,3,0)),VLOOKUP(AB4,查询附表!B:F,3,0))</f>
        <v>工程 电学</v>
      </c>
      <c r="AC5" s="39" t="str">
        <f>IF(AB4="",IF(AC4="","",VLOOKUP(AC4,查询附表!B:F,4,0)),VLOOKUP(AB4,查询附表!B:F,4,0))</f>
        <v>电表倒转 界限突破</v>
      </c>
      <c r="AD5" s="39"/>
      <c r="AE5" s="39"/>
    </row>
    <row r="6" customHeight="1" spans="2:31">
      <c r="B6" s="27" t="s">
        <v>294</v>
      </c>
      <c r="C6" s="27">
        <v>1</v>
      </c>
      <c r="D6" s="28">
        <f>IF(B6="","",VLOOKUP(B6,查询附表!I:O,C6*2,0))</f>
        <v>3</v>
      </c>
      <c r="E6" s="29" t="str">
        <f>IF(B6="","",VLOOKUP(B6,查询附表!I:O,C6*2+1,0))</f>
        <v>命中率+5%</v>
      </c>
      <c r="F6" s="29"/>
      <c r="G6" s="33"/>
      <c r="H6" s="34"/>
      <c r="I6" s="34"/>
      <c r="J6" s="34"/>
      <c r="K6" s="34"/>
      <c r="L6" s="47"/>
      <c r="N6" s="27" t="s">
        <v>295</v>
      </c>
      <c r="O6" s="27">
        <v>1</v>
      </c>
      <c r="P6" s="45">
        <f>IF(N6="","",VLOOKUP(N6,查询附表!R:U,2,0)*O6)</f>
        <v>400</v>
      </c>
      <c r="Q6" s="28">
        <f>IF(N6="","",VLOOKUP(N6,查询附表!$R:$U,3,0)*O6)</f>
        <v>2</v>
      </c>
      <c r="R6" s="52" t="str">
        <f>IF(N6="","",VLOOKUP(N6,查询附表!R:U,4,0))</f>
        <v>物理护甲1</v>
      </c>
      <c r="S6" s="19">
        <f>INT(SUM(P4:P12)/100000-S7*100)</f>
        <v>0</v>
      </c>
      <c r="U6" s="57"/>
      <c r="V6" s="58"/>
      <c r="W6" s="58"/>
      <c r="X6" s="58"/>
      <c r="Y6" s="58"/>
      <c r="Z6" s="68"/>
      <c r="AB6" s="41"/>
      <c r="AC6" s="42"/>
      <c r="AD6" s="42"/>
      <c r="AE6" s="42"/>
    </row>
    <row r="7" customHeight="1" spans="2:26">
      <c r="B7" s="27"/>
      <c r="C7" s="27">
        <v>1</v>
      </c>
      <c r="D7" s="28" t="str">
        <f>IF(B7="","",VLOOKUP(B7,查询附表!I:O,C7*2,0))</f>
        <v/>
      </c>
      <c r="E7" s="29" t="str">
        <f>IF(B7="","",VLOOKUP(B7,查询附表!I:O,C7*2+1,0))</f>
        <v/>
      </c>
      <c r="F7" s="29"/>
      <c r="G7" s="35"/>
      <c r="H7" s="36"/>
      <c r="I7" s="36"/>
      <c r="J7" s="36"/>
      <c r="K7" s="36"/>
      <c r="L7" s="48"/>
      <c r="N7" s="27" t="s">
        <v>296</v>
      </c>
      <c r="O7" s="27">
        <v>2</v>
      </c>
      <c r="P7" s="45">
        <f>IF(N7="","",VLOOKUP(N7,查询附表!R:U,2,0)*O7)</f>
        <v>100</v>
      </c>
      <c r="Q7" s="28">
        <f>IF(N7="","",VLOOKUP(N7,查询附表!$R:$U,3,0)*O7)</f>
        <v>2</v>
      </c>
      <c r="R7" s="52" t="str">
        <f>IF(N7="","",VLOOKUP(N7,查询附表!R:U,4,0))</f>
        <v>HP+6 HP恢复抑制</v>
      </c>
      <c r="S7" s="19">
        <f>INT(SUM(P4:P12)/10000000)</f>
        <v>0</v>
      </c>
      <c r="U7" s="60"/>
      <c r="V7" s="61"/>
      <c r="W7" s="61"/>
      <c r="X7" s="61"/>
      <c r="Y7" s="61"/>
      <c r="Z7" s="69"/>
    </row>
    <row r="8" customHeight="1" spans="2:26">
      <c r="B8" s="27"/>
      <c r="C8" s="27"/>
      <c r="D8" s="28" t="str">
        <f>IF(B8="","",VLOOKUP(B8,查询附表!I:O,C8*2,0))</f>
        <v/>
      </c>
      <c r="E8" s="29" t="str">
        <f>IF(B8="","",VLOOKUP(B8,查询附表!I:O,C8*2+1,0))</f>
        <v/>
      </c>
      <c r="F8" s="29"/>
      <c r="G8" s="37" t="s">
        <v>297</v>
      </c>
      <c r="H8" s="37"/>
      <c r="I8" s="37"/>
      <c r="J8" s="37"/>
      <c r="K8" s="37"/>
      <c r="L8" s="37"/>
      <c r="N8" s="27" t="s">
        <v>298</v>
      </c>
      <c r="O8" s="27">
        <v>1</v>
      </c>
      <c r="P8" s="45">
        <f>IF(N8="","",VLOOKUP(N8,查询附表!R:U,2,0)*O8)</f>
        <v>100</v>
      </c>
      <c r="Q8" s="28">
        <f>IF(N8="","",VLOOKUP(N8,查询附表!$R:$U,3,0)*O8)</f>
        <v>0.1</v>
      </c>
      <c r="R8" s="52" t="str">
        <f>IF(N8="","",VLOOKUP(N8,查询附表!R:U,4,0))</f>
        <v>致盲1</v>
      </c>
      <c r="U8" s="37" t="s">
        <v>297</v>
      </c>
      <c r="V8" s="37"/>
      <c r="W8" s="37"/>
      <c r="X8" s="37"/>
      <c r="Y8" s="37"/>
      <c r="Z8" s="37"/>
    </row>
    <row r="9" customHeight="1" spans="2:26">
      <c r="B9" s="27"/>
      <c r="C9" s="27"/>
      <c r="D9" s="28" t="str">
        <f>IF(B9="","",VLOOKUP(B9,查询附表!I:O,C9*2,0))</f>
        <v/>
      </c>
      <c r="E9" s="29" t="str">
        <f>IF(B9="","",VLOOKUP(B9,查询附表!I:O,C9*2+1,0))</f>
        <v/>
      </c>
      <c r="F9" s="29"/>
      <c r="G9" s="37" t="s">
        <v>299</v>
      </c>
      <c r="H9" s="37"/>
      <c r="I9" s="37"/>
      <c r="J9" s="37"/>
      <c r="K9" s="37"/>
      <c r="L9" s="37"/>
      <c r="N9" s="27"/>
      <c r="O9" s="27"/>
      <c r="P9" s="45" t="str">
        <f>IF(N9="","",VLOOKUP(N9,查询附表!R:U,2,0)*O9)</f>
        <v/>
      </c>
      <c r="Q9" s="28" t="str">
        <f>IF(N9="","",VLOOKUP(N9,查询附表!$R:$U,3,0)*O9)</f>
        <v/>
      </c>
      <c r="R9" s="52" t="str">
        <f>IF(N9="","",VLOOKUP(N9,查询附表!R:U,4,0))</f>
        <v/>
      </c>
      <c r="U9" s="37" t="s">
        <v>299</v>
      </c>
      <c r="V9" s="37"/>
      <c r="W9" s="37"/>
      <c r="X9" s="37"/>
      <c r="Y9" s="37"/>
      <c r="Z9" s="37"/>
    </row>
    <row r="10" customHeight="1" spans="2:26">
      <c r="B10" s="27"/>
      <c r="C10" s="27"/>
      <c r="D10" s="28" t="str">
        <f>IF(B10="","",VLOOKUP(B10,查询附表!I:O,C10*2,0))</f>
        <v/>
      </c>
      <c r="E10" s="29" t="str">
        <f>IF(B10="","",VLOOKUP(B10,查询附表!I:O,C10*2+1,0))</f>
        <v/>
      </c>
      <c r="F10" s="29"/>
      <c r="G10" s="29"/>
      <c r="H10" s="29"/>
      <c r="I10" s="29"/>
      <c r="J10" s="29"/>
      <c r="K10" s="29"/>
      <c r="L10" s="29"/>
      <c r="N10" s="27"/>
      <c r="O10" s="27"/>
      <c r="P10" s="45" t="str">
        <f>IF(N10="","",VLOOKUP(N10,查询附表!R:U,2,0)*O10)</f>
        <v/>
      </c>
      <c r="Q10" s="28" t="str">
        <f>IF(N10="","",VLOOKUP(N10,查询附表!$R:$U,3,0)*O10)</f>
        <v/>
      </c>
      <c r="R10" s="52" t="str">
        <f>IF(N10="","",VLOOKUP(N10,查询附表!R:U,4,0))</f>
        <v/>
      </c>
      <c r="U10" s="62" t="s">
        <v>300</v>
      </c>
      <c r="V10" s="63"/>
      <c r="W10" s="63"/>
      <c r="X10" s="63"/>
      <c r="Y10" s="63"/>
      <c r="Z10" s="63"/>
    </row>
    <row r="11" customHeight="1" spans="2:26">
      <c r="B11" s="27"/>
      <c r="C11" s="27"/>
      <c r="D11" s="28" t="str">
        <f>IF(B11="","",VLOOKUP(B11,查询附表!I:O,C11*2,0))</f>
        <v/>
      </c>
      <c r="E11" s="29" t="str">
        <f>IF(B11="","",VLOOKUP(B11,查询附表!I:O,C11*2+1,0))</f>
        <v/>
      </c>
      <c r="F11" s="29"/>
      <c r="G11" s="29"/>
      <c r="H11" s="29"/>
      <c r="I11" s="29"/>
      <c r="J11" s="29"/>
      <c r="K11" s="29"/>
      <c r="L11" s="29"/>
      <c r="N11" s="27"/>
      <c r="O11" s="27"/>
      <c r="P11" s="45" t="str">
        <f>IF(N11="","",VLOOKUP(N11,查询附表!R:U,2,0)*O11)</f>
        <v/>
      </c>
      <c r="Q11" s="28" t="str">
        <f>IF(N11="","",VLOOKUP(N11,查询附表!$R:$U,3,0)*O11)</f>
        <v/>
      </c>
      <c r="R11" s="52" t="str">
        <f>IF(N11="","",VLOOKUP(N11,查询附表!R:U,4,0))</f>
        <v/>
      </c>
      <c r="U11" s="63"/>
      <c r="V11" s="63"/>
      <c r="W11" s="63"/>
      <c r="X11" s="63"/>
      <c r="Y11" s="63"/>
      <c r="Z11" s="63"/>
    </row>
    <row r="12" customHeight="1" spans="2:18">
      <c r="B12" s="38"/>
      <c r="C12" s="38"/>
      <c r="D12" s="39" t="str">
        <f>IF(B12="","",VLOOKUP(B12,查询附表!I:O,C12*2,0))</f>
        <v/>
      </c>
      <c r="E12" s="40" t="str">
        <f>IF(B12="","",VLOOKUP(B12,查询附表!I:O,C12*2+1,0))</f>
        <v/>
      </c>
      <c r="F12" s="29"/>
      <c r="G12" s="29"/>
      <c r="H12" s="29"/>
      <c r="I12" s="29"/>
      <c r="J12" s="29"/>
      <c r="K12" s="29"/>
      <c r="L12" s="29"/>
      <c r="N12" s="38"/>
      <c r="O12" s="38"/>
      <c r="P12" s="49" t="str">
        <f>IF(N12="","",VLOOKUP(N12,查询附表!R:U,2,0)*O12)</f>
        <v/>
      </c>
      <c r="Q12" s="39" t="str">
        <f>IF(N12="","",VLOOKUP(N12,查询附表!$R:$U,3,0)*O12)</f>
        <v/>
      </c>
      <c r="R12" s="40" t="str">
        <f>IF(N12="","",VLOOKUP(N12,查询附表!R:U,4,0))</f>
        <v/>
      </c>
    </row>
    <row r="13" customHeight="1" spans="2:18">
      <c r="B13" s="41"/>
      <c r="C13" s="42"/>
      <c r="D13" s="42"/>
      <c r="E13" s="43" t="str">
        <f>"总和："&amp;SUM(D4:D12)</f>
        <v>总和：23</v>
      </c>
      <c r="F13" s="43"/>
      <c r="G13" s="43"/>
      <c r="H13" s="43"/>
      <c r="I13" s="43"/>
      <c r="J13" s="43"/>
      <c r="K13" s="43"/>
      <c r="L13" s="43"/>
      <c r="N13" s="41"/>
      <c r="O13" s="42"/>
      <c r="P13" s="43" t="s">
        <v>301</v>
      </c>
      <c r="Q13" s="43">
        <f>SUM(Q4:Q12)</f>
        <v>18.1</v>
      </c>
      <c r="R13" s="43" t="str">
        <f>"总和："&amp;IF(S7=0,,S7&amp;"P")&amp;IF(S6=0,,S6&amp;"T")&amp;IF(S5=0,,S5&amp;"G")&amp;IF(S4=0,,S4&amp;"S")&amp;IF(S3=0,,S3&amp;"C")</f>
        <v>总和：2G</v>
      </c>
    </row>
    <row r="15" customHeight="1" spans="2:18">
      <c r="B15" s="21" t="s">
        <v>302</v>
      </c>
      <c r="C15" s="21"/>
      <c r="D15" s="21"/>
      <c r="E15" s="22"/>
      <c r="N15" s="21" t="s">
        <v>303</v>
      </c>
      <c r="O15" s="21"/>
      <c r="P15" s="21"/>
      <c r="Q15" s="51"/>
      <c r="R15" s="22"/>
    </row>
    <row r="16" customHeight="1" spans="2:26">
      <c r="B16" s="23" t="s">
        <v>275</v>
      </c>
      <c r="C16" s="23" t="s">
        <v>23</v>
      </c>
      <c r="D16" s="23" t="s">
        <v>276</v>
      </c>
      <c r="E16" s="24" t="s">
        <v>277</v>
      </c>
      <c r="F16" s="24"/>
      <c r="G16" s="24"/>
      <c r="H16" s="24"/>
      <c r="I16" s="24"/>
      <c r="J16" s="24"/>
      <c r="K16" s="24"/>
      <c r="L16" s="24"/>
      <c r="N16" s="23" t="s">
        <v>279</v>
      </c>
      <c r="O16" s="23" t="s">
        <v>280</v>
      </c>
      <c r="P16" s="23" t="s">
        <v>281</v>
      </c>
      <c r="Q16" s="23" t="s">
        <v>204</v>
      </c>
      <c r="R16" s="23" t="s">
        <v>277</v>
      </c>
      <c r="S16" s="19">
        <f>INT(SUM(P17:P25)*10-S20*100000000-S19*1000000-S18*10000-S17*100)</f>
        <v>0</v>
      </c>
      <c r="U16" s="25" t="s">
        <v>304</v>
      </c>
      <c r="V16" s="25"/>
      <c r="W16" s="25"/>
      <c r="X16" s="25"/>
      <c r="Y16" s="25"/>
      <c r="Z16" s="25"/>
    </row>
    <row r="17" customHeight="1" spans="2:26">
      <c r="B17" s="27" t="s">
        <v>305</v>
      </c>
      <c r="C17" s="27">
        <v>1</v>
      </c>
      <c r="D17" s="28">
        <f>IF(B17="","",VLOOKUP(B17,查询附表!I:O,C17*2,0))</f>
        <v>4</v>
      </c>
      <c r="E17" s="29" t="str">
        <f>IF(B17="","",VLOOKUP(B17,查询附表!I:O,C17*2+1,0))</f>
        <v>施加混乱前，施加混乱等级+1</v>
      </c>
      <c r="F17" s="29"/>
      <c r="G17" s="30" t="str">
        <f>B17&amp;" "&amp;ROMAN(C17)</f>
        <v>脑震荡 I</v>
      </c>
      <c r="H17" s="30"/>
      <c r="I17" s="30"/>
      <c r="J17" s="30"/>
      <c r="K17" s="30"/>
      <c r="L17" s="44">
        <f>D17</f>
        <v>4</v>
      </c>
      <c r="M17" s="50"/>
      <c r="N17" s="27" t="s">
        <v>306</v>
      </c>
      <c r="O17" s="27">
        <v>10</v>
      </c>
      <c r="P17" s="45">
        <f>IF(N17="","",VLOOKUP(N17,查询附表!R:U,2,0)*O17)</f>
        <v>100</v>
      </c>
      <c r="Q17" s="28">
        <f>IF(N17="","",VLOOKUP(N17,查询附表!R:U,3,0)*O17)</f>
        <v>10</v>
      </c>
      <c r="R17" s="52" t="str">
        <f>IF(N17="","",VLOOKUP(N17,查询附表!R:U,4,0))</f>
        <v>5%渔力</v>
      </c>
      <c r="S17" s="19">
        <f>INT(SUM(P17:P25)/10-S20*1000000-S19*10000-S18*100)</f>
        <v>10</v>
      </c>
      <c r="U17" s="64" t="str">
        <f>N17</f>
        <v>新手鱼饵</v>
      </c>
      <c r="V17" s="65"/>
      <c r="W17" s="65"/>
      <c r="X17" s="65"/>
      <c r="Y17" s="70">
        <f>O17</f>
        <v>10</v>
      </c>
      <c r="Z17" s="71">
        <f>Q17</f>
        <v>10</v>
      </c>
    </row>
    <row r="18" customHeight="1" spans="2:26">
      <c r="B18" s="27" t="s">
        <v>307</v>
      </c>
      <c r="C18" s="27">
        <v>1</v>
      </c>
      <c r="D18" s="28">
        <f>IF(B18="","",VLOOKUP(B18,查询附表!I:O,C18*2,0))</f>
        <v>4</v>
      </c>
      <c r="E18" s="29" t="str">
        <f>IF(B18="","",VLOOKUP(B18,查询附表!I:O,C18*2+1,0))</f>
        <v>消耗品效果33%强化</v>
      </c>
      <c r="F18" s="29"/>
      <c r="G18" s="31" t="str">
        <f>E17</f>
        <v>施加混乱前，施加混乱等级+1</v>
      </c>
      <c r="H18" s="32"/>
      <c r="I18" s="32"/>
      <c r="J18" s="32"/>
      <c r="K18" s="32"/>
      <c r="L18" s="46"/>
      <c r="M18" s="50"/>
      <c r="N18" s="27"/>
      <c r="O18" s="27">
        <v>1</v>
      </c>
      <c r="P18" s="45" t="str">
        <f>IF(N18="","",VLOOKUP(N18,查询附表!R:U,2,0)*O18)</f>
        <v/>
      </c>
      <c r="Q18" s="28" t="str">
        <f>IF(N18="","",VLOOKUP(N18,查询附表!R:U,3,0)*O18)</f>
        <v/>
      </c>
      <c r="R18" s="52" t="str">
        <f>IF(N18="","",VLOOKUP(N18,查询附表!R:U,4,0))</f>
        <v/>
      </c>
      <c r="S18" s="19">
        <f>INT(SUM(P17:P25)/1000-S20*10000-S19*100)</f>
        <v>0</v>
      </c>
      <c r="U18" s="64">
        <f>N18</f>
        <v>0</v>
      </c>
      <c r="V18" s="65"/>
      <c r="W18" s="65"/>
      <c r="X18" s="65"/>
      <c r="Y18" s="70">
        <f>O18</f>
        <v>1</v>
      </c>
      <c r="Z18" s="71" t="str">
        <f>Q18</f>
        <v/>
      </c>
    </row>
    <row r="19" customHeight="1" spans="2:26">
      <c r="B19" s="27"/>
      <c r="C19" s="27"/>
      <c r="D19" s="28" t="str">
        <f>IF(B19="","",VLOOKUP(B19,查询附表!I:O,C19*2,0))</f>
        <v/>
      </c>
      <c r="E19" s="29" t="str">
        <f>IF(B19="","",VLOOKUP(B19,查询附表!I:O,C19*2+1,0))</f>
        <v/>
      </c>
      <c r="F19" s="29"/>
      <c r="G19" s="33"/>
      <c r="H19" s="34"/>
      <c r="I19" s="34"/>
      <c r="J19" s="34"/>
      <c r="K19" s="34"/>
      <c r="L19" s="47"/>
      <c r="M19" s="50"/>
      <c r="N19" s="27"/>
      <c r="O19" s="27">
        <v>25</v>
      </c>
      <c r="P19" s="45" t="str">
        <f>IF(N19="","",VLOOKUP(N19,查询附表!R:U,2,0)*O19)</f>
        <v/>
      </c>
      <c r="Q19" s="28" t="str">
        <f>IF(N19="","",VLOOKUP(N19,查询附表!R:U,3,0)*O19)</f>
        <v/>
      </c>
      <c r="R19" s="52" t="str">
        <f>IF(N19="","",VLOOKUP(N19,查询附表!R:U,4,0))</f>
        <v/>
      </c>
      <c r="S19" s="19">
        <f>INT(SUM(P17:P25)/100000-S20*100)</f>
        <v>0</v>
      </c>
      <c r="U19" s="37" t="s">
        <v>308</v>
      </c>
      <c r="V19" s="37"/>
      <c r="W19" s="37"/>
      <c r="X19" s="37"/>
      <c r="Y19" s="37"/>
      <c r="Z19" s="37"/>
    </row>
    <row r="20" customHeight="1" spans="2:26">
      <c r="B20" s="27"/>
      <c r="C20" s="27"/>
      <c r="D20" s="28" t="str">
        <f>IF(B20="","",VLOOKUP(B20,查询附表!I:O,C20*2,0))</f>
        <v/>
      </c>
      <c r="E20" s="29" t="str">
        <f>IF(B20="","",VLOOKUP(B20,查询附表!I:O,C20*2+1,0))</f>
        <v/>
      </c>
      <c r="F20" s="29"/>
      <c r="G20" s="35"/>
      <c r="H20" s="36"/>
      <c r="I20" s="36"/>
      <c r="J20" s="36"/>
      <c r="K20" s="36"/>
      <c r="L20" s="48"/>
      <c r="M20" s="50"/>
      <c r="N20" s="27"/>
      <c r="O20" s="27">
        <v>2</v>
      </c>
      <c r="P20" s="45" t="str">
        <f>IF(N20="","",VLOOKUP(N20,查询附表!R:U,2,0)*O20)</f>
        <v/>
      </c>
      <c r="Q20" s="28" t="str">
        <f>IF(N20="","",VLOOKUP(N20,查询附表!R:U,3,0)*O20)</f>
        <v/>
      </c>
      <c r="R20" s="52" t="str">
        <f>IF(N20="","",VLOOKUP(N20,查询附表!R:U,4,0))</f>
        <v/>
      </c>
      <c r="S20" s="19">
        <f>INT(SUM(P17:P25)/10000000)</f>
        <v>0</v>
      </c>
      <c r="U20" s="37" t="s">
        <v>299</v>
      </c>
      <c r="V20" s="37"/>
      <c r="W20" s="37"/>
      <c r="X20" s="37"/>
      <c r="Y20" s="37"/>
      <c r="Z20" s="37"/>
    </row>
    <row r="21" customHeight="1" spans="2:18">
      <c r="B21" s="27"/>
      <c r="C21" s="27"/>
      <c r="D21" s="28" t="str">
        <f>IF(B21="","",VLOOKUP(B21,查询附表!I:O,C21*2,0))</f>
        <v/>
      </c>
      <c r="E21" s="29" t="str">
        <f>IF(B21="","",VLOOKUP(B21,查询附表!I:O,C21*2+1,0))</f>
        <v/>
      </c>
      <c r="F21" s="29"/>
      <c r="G21" s="29"/>
      <c r="H21" s="29"/>
      <c r="I21" s="29"/>
      <c r="J21" s="29"/>
      <c r="K21" s="29"/>
      <c r="L21" s="29"/>
      <c r="M21" s="50"/>
      <c r="N21" s="27"/>
      <c r="O21" s="27"/>
      <c r="P21" s="45" t="str">
        <f>IF(N21="","",VLOOKUP(N21,查询附表!R:U,2,0)*O21)</f>
        <v/>
      </c>
      <c r="Q21" s="28" t="str">
        <f>IF(N21="","",VLOOKUP(N21,查询附表!R:U,3,0)*O21)</f>
        <v/>
      </c>
      <c r="R21" s="52" t="str">
        <f>IF(N21="","",VLOOKUP(N21,查询附表!R:U,4,0))</f>
        <v/>
      </c>
    </row>
    <row r="22" customHeight="1" spans="2:18">
      <c r="B22" s="27"/>
      <c r="C22" s="27"/>
      <c r="D22" s="28" t="str">
        <f>IF(B22="","",VLOOKUP(B22,查询附表!I:O,C22*2,0))</f>
        <v/>
      </c>
      <c r="E22" s="29" t="str">
        <f>IF(B22="","",VLOOKUP(B22,查询附表!I:O,C22*2+1,0))</f>
        <v/>
      </c>
      <c r="F22" s="29"/>
      <c r="G22" s="29"/>
      <c r="H22" s="29"/>
      <c r="I22" s="29"/>
      <c r="J22" s="29"/>
      <c r="K22" s="29"/>
      <c r="L22" s="29"/>
      <c r="M22" s="50"/>
      <c r="N22" s="27"/>
      <c r="O22" s="27"/>
      <c r="P22" s="45" t="str">
        <f>IF(N22="","",VLOOKUP(N22,查询附表!R:U,2,0)*O22)</f>
        <v/>
      </c>
      <c r="Q22" s="28" t="str">
        <f>IF(N22="","",VLOOKUP(N22,查询附表!R:U,3,0)*O22)</f>
        <v/>
      </c>
      <c r="R22" s="52" t="str">
        <f>IF(N22="","",VLOOKUP(N22,查询附表!R:U,4,0))</f>
        <v/>
      </c>
    </row>
    <row r="23" customHeight="1" spans="2:18">
      <c r="B23" s="27"/>
      <c r="C23" s="27"/>
      <c r="D23" s="28" t="str">
        <f>IF(B23="","",VLOOKUP(B23,查询附表!I:O,C23*2,0))</f>
        <v/>
      </c>
      <c r="E23" s="29" t="str">
        <f>IF(B23="","",VLOOKUP(B23,查询附表!I:O,C23*2+1,0))</f>
        <v/>
      </c>
      <c r="F23" s="29"/>
      <c r="G23" s="29"/>
      <c r="H23" s="29"/>
      <c r="I23" s="29"/>
      <c r="J23" s="29"/>
      <c r="K23" s="29"/>
      <c r="L23" s="29"/>
      <c r="M23" s="50"/>
      <c r="N23" s="27"/>
      <c r="O23" s="27"/>
      <c r="P23" s="45" t="str">
        <f>IF(N23="","",VLOOKUP(N23,查询附表!R:U,2,0)*O23)</f>
        <v/>
      </c>
      <c r="Q23" s="28" t="str">
        <f>IF(N23="","",VLOOKUP(N23,查询附表!R:U,3,0)*O23)</f>
        <v/>
      </c>
      <c r="R23" s="52" t="str">
        <f>IF(N23="","",VLOOKUP(N23,查询附表!R:U,4,0))</f>
        <v/>
      </c>
    </row>
    <row r="24" customHeight="1" spans="2:18">
      <c r="B24" s="27"/>
      <c r="C24" s="27"/>
      <c r="D24" s="28" t="str">
        <f>IF(B24="","",VLOOKUP(B24,查询附表!I:O,C24*2,0))</f>
        <v/>
      </c>
      <c r="E24" s="29" t="str">
        <f>IF(B24="","",VLOOKUP(B24,查询附表!I:O,C24*2+1,0))</f>
        <v/>
      </c>
      <c r="F24" s="29"/>
      <c r="G24" s="29"/>
      <c r="H24" s="29"/>
      <c r="I24" s="29"/>
      <c r="J24" s="29"/>
      <c r="K24" s="29"/>
      <c r="L24" s="29"/>
      <c r="M24" s="50"/>
      <c r="N24" s="27"/>
      <c r="O24" s="27"/>
      <c r="P24" s="45" t="str">
        <f>IF(N24="","",VLOOKUP(N24,查询附表!R:U,2,0)*O24)</f>
        <v/>
      </c>
      <c r="Q24" s="28" t="str">
        <f>IF(N24="","",VLOOKUP(N24,查询附表!R:U,3,0)*O24)</f>
        <v/>
      </c>
      <c r="R24" s="52" t="str">
        <f>IF(N24="","",VLOOKUP(N24,查询附表!R:U,4,0))</f>
        <v/>
      </c>
    </row>
    <row r="25" customHeight="1" spans="2:18">
      <c r="B25" s="38"/>
      <c r="C25" s="38"/>
      <c r="D25" s="39" t="str">
        <f>IF(B25="","",VLOOKUP(B25,查询附表!I:O,C25*2,0))</f>
        <v/>
      </c>
      <c r="E25" s="40" t="str">
        <f>IF(B25="","",VLOOKUP(B25,查询附表!I:O,C25*2+1,0))</f>
        <v/>
      </c>
      <c r="F25" s="29"/>
      <c r="G25" s="29"/>
      <c r="H25" s="29"/>
      <c r="I25" s="29"/>
      <c r="J25" s="29"/>
      <c r="K25" s="29"/>
      <c r="L25" s="29"/>
      <c r="M25" s="50"/>
      <c r="N25" s="38"/>
      <c r="O25" s="38"/>
      <c r="P25" s="49" t="str">
        <f>IF(N25="","",VLOOKUP(N25,查询附表!R:U,2,0)*O25)</f>
        <v/>
      </c>
      <c r="Q25" s="39" t="str">
        <f>IF(N25="","",VLOOKUP(N25,查询附表!R:U,3,0)*O25)</f>
        <v/>
      </c>
      <c r="R25" s="40" t="str">
        <f>IF(N25="","",VLOOKUP(N25,查询附表!R:U,4,0))</f>
        <v/>
      </c>
    </row>
    <row r="26" customHeight="1" spans="2:18">
      <c r="B26" s="41"/>
      <c r="C26" s="42"/>
      <c r="D26" s="42"/>
      <c r="E26" s="43" t="str">
        <f>"总和："&amp;SUM(D17:D25)</f>
        <v>总和：8</v>
      </c>
      <c r="F26" s="43"/>
      <c r="G26" s="43"/>
      <c r="H26" s="43"/>
      <c r="I26" s="43"/>
      <c r="J26" s="43"/>
      <c r="K26" s="43"/>
      <c r="L26" s="43"/>
      <c r="N26" s="41"/>
      <c r="O26" s="42"/>
      <c r="P26" s="43" t="s">
        <v>301</v>
      </c>
      <c r="Q26" s="43">
        <f>SUM(Q17:Q25)</f>
        <v>10</v>
      </c>
      <c r="R26" s="43" t="str">
        <f>"总和："&amp;IF(S20=0,,S20&amp;"P")&amp;IF(S19=0,,S19&amp;"T")&amp;IF(S18=0,,S18&amp;"G")&amp;IF(S17=0,,S17&amp;"S")&amp;IF(S16=0,,S16&amp;"C")</f>
        <v>总和：10S</v>
      </c>
    </row>
  </sheetData>
  <mergeCells count="23">
    <mergeCell ref="B2:D2"/>
    <mergeCell ref="N2:P2"/>
    <mergeCell ref="G3:L3"/>
    <mergeCell ref="U3:Z3"/>
    <mergeCell ref="G4:K4"/>
    <mergeCell ref="W4:Z4"/>
    <mergeCell ref="AC5:AE5"/>
    <mergeCell ref="G8:L8"/>
    <mergeCell ref="U8:Z8"/>
    <mergeCell ref="G9:L9"/>
    <mergeCell ref="U9:Z9"/>
    <mergeCell ref="B15:D15"/>
    <mergeCell ref="N15:P15"/>
    <mergeCell ref="U16:Z16"/>
    <mergeCell ref="G17:K17"/>
    <mergeCell ref="U17:X17"/>
    <mergeCell ref="U18:X18"/>
    <mergeCell ref="U19:Z19"/>
    <mergeCell ref="U20:Z20"/>
    <mergeCell ref="U5:Z7"/>
    <mergeCell ref="G5:L7"/>
    <mergeCell ref="U10:Z11"/>
    <mergeCell ref="G18:L20"/>
  </mergeCells>
  <dataValidations count="3">
    <dataValidation type="list" allowBlank="1" showInputMessage="1" showErrorMessage="1" sqref="AC4">
      <formula1>查询附表!$B2:$B85</formula1>
    </dataValidation>
    <dataValidation type="list" allowBlank="1" showInputMessage="1" showErrorMessage="1" sqref="B17:B25">
      <formula1>查询附表!$I$1:$I$101</formula1>
    </dataValidation>
    <dataValidation type="list" allowBlank="1" showInputMessage="1" showErrorMessage="1" sqref="N17:N25">
      <formula1>查询附表!$R:$R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tabSelected="1" zoomScale="70" zoomScaleNormal="70" topLeftCell="I13" workbookViewId="0">
      <selection activeCell="AG66" sqref="AG66"/>
    </sheetView>
  </sheetViews>
  <sheetFormatPr defaultColWidth="12.625" defaultRowHeight="15" customHeight="1"/>
  <cols>
    <col min="1" max="1" width="12.625" style="12" customWidth="1"/>
    <col min="2" max="5" width="12.625" style="13" customWidth="1"/>
    <col min="6" max="6" width="12.625" style="12" customWidth="1"/>
    <col min="7" max="7" width="12.625" style="13" customWidth="1"/>
    <col min="8" max="8" width="12.625" style="14" customWidth="1"/>
    <col min="9" max="16" width="12.625" style="13" customWidth="1"/>
    <col min="17" max="17" width="12.625" style="14" customWidth="1"/>
    <col min="18" max="18" width="12.625" style="13" customWidth="1"/>
    <col min="19" max="20" width="12.625" style="13"/>
    <col min="21" max="21" width="12.625" style="15"/>
    <col min="22" max="16384" width="12.625" style="13"/>
  </cols>
  <sheetData>
    <row r="1" customHeight="1" spans="1:34">
      <c r="A1" s="12">
        <v>0</v>
      </c>
      <c r="B1" s="13" t="s">
        <v>309</v>
      </c>
      <c r="C1" s="13">
        <v>0</v>
      </c>
      <c r="D1" s="13" t="s">
        <v>310</v>
      </c>
      <c r="F1" s="12">
        <v>0</v>
      </c>
      <c r="H1" s="14" t="s">
        <v>311</v>
      </c>
      <c r="I1" s="13" t="s">
        <v>312</v>
      </c>
      <c r="J1" s="13">
        <v>-3</v>
      </c>
      <c r="K1" s="13" t="s">
        <v>313</v>
      </c>
      <c r="Q1" s="14" t="s">
        <v>72</v>
      </c>
      <c r="W1" s="13" t="s">
        <v>154</v>
      </c>
      <c r="X1" s="13" t="s">
        <v>314</v>
      </c>
      <c r="Z1" s="13" t="s">
        <v>157</v>
      </c>
      <c r="AA1" s="13" t="s">
        <v>315</v>
      </c>
      <c r="AC1" s="13" t="s">
        <v>155</v>
      </c>
      <c r="AD1" s="13" t="s">
        <v>316</v>
      </c>
      <c r="AF1" s="13" t="s">
        <v>153</v>
      </c>
      <c r="AH1" s="13" t="s">
        <v>317</v>
      </c>
    </row>
    <row r="2" customHeight="1" spans="1:34">
      <c r="A2" s="12">
        <v>1</v>
      </c>
      <c r="B2" s="13" t="s">
        <v>318</v>
      </c>
      <c r="C2" s="13" t="s">
        <v>14</v>
      </c>
      <c r="D2" s="13" t="s">
        <v>319</v>
      </c>
      <c r="E2" s="13" t="s">
        <v>320</v>
      </c>
      <c r="F2" s="12">
        <v>1</v>
      </c>
      <c r="I2" s="13" t="s">
        <v>321</v>
      </c>
      <c r="J2" s="13">
        <v>4</v>
      </c>
      <c r="K2" s="13" t="s">
        <v>322</v>
      </c>
      <c r="L2" s="13">
        <v>8</v>
      </c>
      <c r="M2" s="13" t="s">
        <v>323</v>
      </c>
      <c r="N2" s="13">
        <v>12</v>
      </c>
      <c r="O2" s="13" t="s">
        <v>324</v>
      </c>
      <c r="R2" s="13" t="s">
        <v>195</v>
      </c>
      <c r="W2" s="13" t="s">
        <v>325</v>
      </c>
      <c r="X2" s="13" t="s">
        <v>326</v>
      </c>
      <c r="Z2" s="13" t="s">
        <v>239</v>
      </c>
      <c r="AA2" s="13" t="s">
        <v>327</v>
      </c>
      <c r="AC2" s="17" t="s">
        <v>328</v>
      </c>
      <c r="AD2" s="13" t="s">
        <v>329</v>
      </c>
      <c r="AF2" s="13" t="s">
        <v>330</v>
      </c>
      <c r="AH2" s="13" t="s">
        <v>331</v>
      </c>
    </row>
    <row r="3" customHeight="1" spans="1:34">
      <c r="A3" s="12">
        <v>2</v>
      </c>
      <c r="B3" s="13" t="s">
        <v>332</v>
      </c>
      <c r="C3" s="13" t="s">
        <v>14</v>
      </c>
      <c r="D3" s="13" t="s">
        <v>333</v>
      </c>
      <c r="E3" s="13" t="s">
        <v>334</v>
      </c>
      <c r="F3" s="12">
        <v>2</v>
      </c>
      <c r="I3" s="13" t="s">
        <v>335</v>
      </c>
      <c r="J3" s="13">
        <v>6</v>
      </c>
      <c r="K3" s="13" t="s">
        <v>336</v>
      </c>
      <c r="Q3" s="14" t="s">
        <v>337</v>
      </c>
      <c r="R3" s="13" t="s">
        <v>296</v>
      </c>
      <c r="S3" s="13">
        <v>50</v>
      </c>
      <c r="T3" s="13">
        <v>1</v>
      </c>
      <c r="U3" s="15" t="s">
        <v>338</v>
      </c>
      <c r="W3" s="13" t="s">
        <v>339</v>
      </c>
      <c r="X3" s="13" t="s">
        <v>340</v>
      </c>
      <c r="Z3" s="13" t="s">
        <v>248</v>
      </c>
      <c r="AA3" s="13" t="s">
        <v>341</v>
      </c>
      <c r="AC3" s="17" t="s">
        <v>342</v>
      </c>
      <c r="AD3" s="13" t="s">
        <v>343</v>
      </c>
      <c r="AF3" s="13" t="s">
        <v>97</v>
      </c>
      <c r="AH3" s="13" t="s">
        <v>344</v>
      </c>
    </row>
    <row r="4" customHeight="1" spans="1:34">
      <c r="A4" s="12">
        <v>3</v>
      </c>
      <c r="B4" s="13" t="s">
        <v>345</v>
      </c>
      <c r="C4" s="13" t="s">
        <v>14</v>
      </c>
      <c r="D4" s="13" t="s">
        <v>346</v>
      </c>
      <c r="E4" s="13" t="s">
        <v>347</v>
      </c>
      <c r="F4" s="12">
        <v>3</v>
      </c>
      <c r="I4" s="273" t="s">
        <v>195</v>
      </c>
      <c r="R4" s="13" t="s">
        <v>348</v>
      </c>
      <c r="S4" s="13">
        <v>50</v>
      </c>
      <c r="T4" s="13">
        <v>1</v>
      </c>
      <c r="U4" s="15" t="s">
        <v>349</v>
      </c>
      <c r="W4" s="13" t="s">
        <v>350</v>
      </c>
      <c r="X4" s="13" t="s">
        <v>351</v>
      </c>
      <c r="Z4" s="13" t="s">
        <v>258</v>
      </c>
      <c r="AA4" s="13" t="s">
        <v>352</v>
      </c>
      <c r="AC4" s="17" t="s">
        <v>353</v>
      </c>
      <c r="AD4" s="13" t="s">
        <v>354</v>
      </c>
      <c r="AF4" s="13" t="s">
        <v>125</v>
      </c>
      <c r="AH4" s="13" t="s">
        <v>355</v>
      </c>
    </row>
    <row r="5" customHeight="1" spans="1:34">
      <c r="A5" s="12">
        <v>4</v>
      </c>
      <c r="B5" s="13" t="s">
        <v>356</v>
      </c>
      <c r="C5" s="13" t="s">
        <v>26</v>
      </c>
      <c r="D5" s="13" t="s">
        <v>357</v>
      </c>
      <c r="E5" s="13" t="s">
        <v>358</v>
      </c>
      <c r="F5" s="12">
        <v>4</v>
      </c>
      <c r="H5" s="14" t="s">
        <v>359</v>
      </c>
      <c r="I5" s="13" t="s">
        <v>360</v>
      </c>
      <c r="J5" s="13">
        <v>3</v>
      </c>
      <c r="K5" s="13" t="s">
        <v>361</v>
      </c>
      <c r="L5" s="13">
        <v>7</v>
      </c>
      <c r="M5" s="13" t="s">
        <v>362</v>
      </c>
      <c r="N5" s="13">
        <v>12</v>
      </c>
      <c r="O5" s="13" t="s">
        <v>363</v>
      </c>
      <c r="R5" s="13" t="s">
        <v>364</v>
      </c>
      <c r="S5" s="13">
        <v>50</v>
      </c>
      <c r="T5" s="13">
        <v>1</v>
      </c>
      <c r="U5" s="15" t="s">
        <v>365</v>
      </c>
      <c r="W5" s="13" t="s">
        <v>366</v>
      </c>
      <c r="X5" s="13" t="s">
        <v>367</v>
      </c>
      <c r="AC5" s="17" t="s">
        <v>368</v>
      </c>
      <c r="AD5" s="13" t="s">
        <v>369</v>
      </c>
      <c r="AF5" s="13" t="s">
        <v>370</v>
      </c>
      <c r="AH5" s="13" t="s">
        <v>371</v>
      </c>
    </row>
    <row r="6" customHeight="1" spans="1:34">
      <c r="A6" s="12">
        <v>5</v>
      </c>
      <c r="B6" s="13" t="s">
        <v>372</v>
      </c>
      <c r="C6" s="13" t="s">
        <v>26</v>
      </c>
      <c r="D6" s="13" t="s">
        <v>373</v>
      </c>
      <c r="E6" s="13" t="s">
        <v>374</v>
      </c>
      <c r="F6" s="12">
        <v>5</v>
      </c>
      <c r="I6" s="13" t="s">
        <v>375</v>
      </c>
      <c r="J6" s="13">
        <v>4</v>
      </c>
      <c r="K6" s="13" t="s">
        <v>376</v>
      </c>
      <c r="L6" s="13">
        <v>9</v>
      </c>
      <c r="M6" s="13" t="s">
        <v>377</v>
      </c>
      <c r="N6" s="13">
        <v>15</v>
      </c>
      <c r="O6" s="13" t="s">
        <v>378</v>
      </c>
      <c r="R6" s="13" t="s">
        <v>379</v>
      </c>
      <c r="S6" s="13">
        <v>250</v>
      </c>
      <c r="T6" s="13">
        <v>1</v>
      </c>
      <c r="U6" s="15" t="s">
        <v>380</v>
      </c>
      <c r="W6" s="13" t="s">
        <v>381</v>
      </c>
      <c r="X6" s="13" t="s">
        <v>382</v>
      </c>
      <c r="AC6" s="17" t="s">
        <v>383</v>
      </c>
      <c r="AD6" s="13" t="s">
        <v>384</v>
      </c>
      <c r="AF6" s="13" t="s">
        <v>385</v>
      </c>
      <c r="AH6" s="13" t="s">
        <v>386</v>
      </c>
    </row>
    <row r="7" customHeight="1" spans="1:34">
      <c r="A7" s="12">
        <v>6</v>
      </c>
      <c r="B7" s="13" t="s">
        <v>387</v>
      </c>
      <c r="C7" s="13" t="s">
        <v>26</v>
      </c>
      <c r="D7" s="13" t="s">
        <v>388</v>
      </c>
      <c r="E7" s="13" t="s">
        <v>389</v>
      </c>
      <c r="F7" s="12">
        <v>6</v>
      </c>
      <c r="I7" s="13" t="s">
        <v>390</v>
      </c>
      <c r="J7" s="13">
        <v>6</v>
      </c>
      <c r="K7" s="13" t="s">
        <v>391</v>
      </c>
      <c r="L7" s="13">
        <v>13</v>
      </c>
      <c r="M7" s="13" t="s">
        <v>392</v>
      </c>
      <c r="N7" s="13">
        <v>21</v>
      </c>
      <c r="O7" s="13" t="s">
        <v>393</v>
      </c>
      <c r="R7" s="13" t="s">
        <v>394</v>
      </c>
      <c r="S7" s="13">
        <v>250</v>
      </c>
      <c r="T7" s="13">
        <v>1</v>
      </c>
      <c r="U7" s="15" t="s">
        <v>395</v>
      </c>
      <c r="W7" s="13" t="s">
        <v>396</v>
      </c>
      <c r="X7" s="13" t="s">
        <v>397</v>
      </c>
      <c r="AC7" s="17" t="s">
        <v>398</v>
      </c>
      <c r="AD7" s="13" t="s">
        <v>399</v>
      </c>
      <c r="AF7" s="13" t="s">
        <v>400</v>
      </c>
      <c r="AH7" s="13" t="s">
        <v>401</v>
      </c>
    </row>
    <row r="8" customHeight="1" spans="1:34">
      <c r="A8" s="12">
        <v>7</v>
      </c>
      <c r="B8" s="13" t="s">
        <v>402</v>
      </c>
      <c r="C8" s="13" t="s">
        <v>31</v>
      </c>
      <c r="D8" s="13" t="s">
        <v>403</v>
      </c>
      <c r="E8" s="13" t="s">
        <v>404</v>
      </c>
      <c r="F8" s="12">
        <v>7</v>
      </c>
      <c r="I8" s="13" t="s">
        <v>405</v>
      </c>
      <c r="J8" s="13">
        <v>3</v>
      </c>
      <c r="K8" s="13" t="s">
        <v>406</v>
      </c>
      <c r="L8" s="13">
        <v>6</v>
      </c>
      <c r="M8" s="13" t="s">
        <v>407</v>
      </c>
      <c r="N8" s="13">
        <v>9</v>
      </c>
      <c r="O8" s="13" t="s">
        <v>408</v>
      </c>
      <c r="R8" s="13" t="s">
        <v>409</v>
      </c>
      <c r="S8" s="13">
        <v>250</v>
      </c>
      <c r="T8" s="13">
        <v>1</v>
      </c>
      <c r="U8" s="15" t="s">
        <v>410</v>
      </c>
      <c r="W8" s="13" t="s">
        <v>411</v>
      </c>
      <c r="X8" s="13" t="s">
        <v>412</v>
      </c>
      <c r="AC8" s="17" t="s">
        <v>413</v>
      </c>
      <c r="AD8" s="13" t="s">
        <v>414</v>
      </c>
      <c r="AF8" s="13" t="s">
        <v>415</v>
      </c>
      <c r="AH8" s="13" t="s">
        <v>416</v>
      </c>
    </row>
    <row r="9" customHeight="1" spans="1:34">
      <c r="A9" s="12">
        <v>8</v>
      </c>
      <c r="B9" s="13" t="s">
        <v>417</v>
      </c>
      <c r="C9" s="13" t="s">
        <v>31</v>
      </c>
      <c r="D9" s="13" t="s">
        <v>418</v>
      </c>
      <c r="E9" s="13" t="s">
        <v>419</v>
      </c>
      <c r="F9" s="12">
        <v>8</v>
      </c>
      <c r="I9" s="13" t="s">
        <v>420</v>
      </c>
      <c r="J9" s="13">
        <v>6</v>
      </c>
      <c r="K9" s="13" t="s">
        <v>421</v>
      </c>
      <c r="L9" s="13">
        <v>12</v>
      </c>
      <c r="M9" s="13" t="s">
        <v>422</v>
      </c>
      <c r="N9" s="13">
        <v>18</v>
      </c>
      <c r="O9" s="13" t="s">
        <v>423</v>
      </c>
      <c r="R9" s="13" t="s">
        <v>424</v>
      </c>
      <c r="S9" s="13">
        <v>500</v>
      </c>
      <c r="T9" s="13">
        <v>1</v>
      </c>
      <c r="U9" s="15" t="s">
        <v>425</v>
      </c>
      <c r="W9" s="13" t="s">
        <v>426</v>
      </c>
      <c r="X9" s="13" t="s">
        <v>427</v>
      </c>
      <c r="AC9" s="17" t="s">
        <v>428</v>
      </c>
      <c r="AD9" s="13" t="s">
        <v>343</v>
      </c>
      <c r="AF9" s="13" t="s">
        <v>7</v>
      </c>
      <c r="AH9" s="13" t="s">
        <v>429</v>
      </c>
    </row>
    <row r="10" customHeight="1" spans="1:34">
      <c r="A10" s="12">
        <v>9</v>
      </c>
      <c r="B10" s="13" t="s">
        <v>430</v>
      </c>
      <c r="C10" s="13" t="s">
        <v>31</v>
      </c>
      <c r="D10" s="13" t="s">
        <v>431</v>
      </c>
      <c r="E10" s="13" t="s">
        <v>432</v>
      </c>
      <c r="F10" s="12">
        <v>9</v>
      </c>
      <c r="I10" s="13" t="s">
        <v>433</v>
      </c>
      <c r="J10" s="13">
        <v>6</v>
      </c>
      <c r="K10" s="13" t="s">
        <v>434</v>
      </c>
      <c r="L10" s="13">
        <v>12</v>
      </c>
      <c r="M10" s="13" t="s">
        <v>435</v>
      </c>
      <c r="N10" s="13">
        <v>18</v>
      </c>
      <c r="O10" s="13" t="s">
        <v>436</v>
      </c>
      <c r="R10" s="13" t="s">
        <v>437</v>
      </c>
      <c r="S10" s="13">
        <v>500</v>
      </c>
      <c r="T10" s="13">
        <v>1</v>
      </c>
      <c r="U10" s="15" t="s">
        <v>438</v>
      </c>
      <c r="W10" s="13" t="s">
        <v>439</v>
      </c>
      <c r="X10" s="13" t="s">
        <v>440</v>
      </c>
      <c r="AC10" s="17" t="s">
        <v>441</v>
      </c>
      <c r="AD10" s="13" t="s">
        <v>442</v>
      </c>
      <c r="AH10" s="13" t="s">
        <v>443</v>
      </c>
    </row>
    <row r="11" customHeight="1" spans="1:34">
      <c r="A11" s="12">
        <v>10</v>
      </c>
      <c r="B11" s="13" t="s">
        <v>444</v>
      </c>
      <c r="C11" s="13" t="s">
        <v>46</v>
      </c>
      <c r="D11" s="13" t="s">
        <v>445</v>
      </c>
      <c r="E11" s="13" t="s">
        <v>446</v>
      </c>
      <c r="F11" s="12">
        <v>10</v>
      </c>
      <c r="I11" s="13" t="s">
        <v>447</v>
      </c>
      <c r="J11" s="13">
        <v>4</v>
      </c>
      <c r="K11" s="13" t="s">
        <v>448</v>
      </c>
      <c r="L11" s="13">
        <v>9</v>
      </c>
      <c r="M11" s="13" t="s">
        <v>449</v>
      </c>
      <c r="N11" s="13">
        <v>15</v>
      </c>
      <c r="O11" s="13" t="s">
        <v>450</v>
      </c>
      <c r="R11" s="13" t="s">
        <v>451</v>
      </c>
      <c r="S11" s="13">
        <v>250</v>
      </c>
      <c r="T11" s="13">
        <v>1</v>
      </c>
      <c r="U11" s="15" t="s">
        <v>452</v>
      </c>
      <c r="AC11" s="17" t="s">
        <v>453</v>
      </c>
      <c r="AD11" s="13" t="s">
        <v>454</v>
      </c>
      <c r="AH11" s="13" t="s">
        <v>455</v>
      </c>
    </row>
    <row r="12" customHeight="1" spans="1:34">
      <c r="A12" s="12">
        <v>11</v>
      </c>
      <c r="B12" s="13" t="s">
        <v>456</v>
      </c>
      <c r="C12" s="13" t="s">
        <v>46</v>
      </c>
      <c r="D12" s="13" t="s">
        <v>457</v>
      </c>
      <c r="E12" s="13" t="s">
        <v>458</v>
      </c>
      <c r="F12" s="12">
        <v>11</v>
      </c>
      <c r="I12" s="13" t="s">
        <v>459</v>
      </c>
      <c r="J12" s="13">
        <v>8</v>
      </c>
      <c r="K12" s="13" t="s">
        <v>460</v>
      </c>
      <c r="L12" s="13">
        <v>17</v>
      </c>
      <c r="M12" s="13" t="s">
        <v>461</v>
      </c>
      <c r="N12" s="13">
        <v>27</v>
      </c>
      <c r="O12" s="13" t="s">
        <v>462</v>
      </c>
      <c r="R12" s="13" t="s">
        <v>463</v>
      </c>
      <c r="S12" s="13">
        <v>250</v>
      </c>
      <c r="T12" s="13">
        <v>1</v>
      </c>
      <c r="U12" s="15" t="s">
        <v>464</v>
      </c>
      <c r="AC12" s="17" t="s">
        <v>465</v>
      </c>
      <c r="AD12" s="13" t="s">
        <v>369</v>
      </c>
      <c r="AH12" s="13" t="s">
        <v>466</v>
      </c>
    </row>
    <row r="13" customHeight="1" spans="1:34">
      <c r="A13" s="12">
        <v>12</v>
      </c>
      <c r="B13" s="13" t="s">
        <v>467</v>
      </c>
      <c r="C13" s="13" t="s">
        <v>46</v>
      </c>
      <c r="D13" s="13" t="s">
        <v>468</v>
      </c>
      <c r="E13" s="13" t="s">
        <v>469</v>
      </c>
      <c r="F13" s="12">
        <v>12</v>
      </c>
      <c r="I13" s="13" t="s">
        <v>294</v>
      </c>
      <c r="J13" s="13">
        <v>3</v>
      </c>
      <c r="K13" s="13" t="s">
        <v>470</v>
      </c>
      <c r="L13" s="13">
        <v>6</v>
      </c>
      <c r="M13" s="13" t="s">
        <v>471</v>
      </c>
      <c r="N13" s="13">
        <v>9</v>
      </c>
      <c r="O13" s="13" t="s">
        <v>472</v>
      </c>
      <c r="R13" s="13" t="s">
        <v>473</v>
      </c>
      <c r="S13" s="13">
        <v>250</v>
      </c>
      <c r="T13" s="13">
        <v>1</v>
      </c>
      <c r="U13" s="15" t="s">
        <v>474</v>
      </c>
      <c r="AC13" s="17" t="s">
        <v>475</v>
      </c>
      <c r="AD13" s="13" t="s">
        <v>476</v>
      </c>
      <c r="AH13" s="13" t="s">
        <v>477</v>
      </c>
    </row>
    <row r="14" customHeight="1" spans="1:34">
      <c r="A14" s="12">
        <v>13</v>
      </c>
      <c r="B14" s="13" t="s">
        <v>478</v>
      </c>
      <c r="C14" s="13" t="s">
        <v>59</v>
      </c>
      <c r="D14" s="13" t="s">
        <v>479</v>
      </c>
      <c r="E14" s="13" t="s">
        <v>480</v>
      </c>
      <c r="F14" s="12">
        <v>13</v>
      </c>
      <c r="I14" s="13" t="s">
        <v>481</v>
      </c>
      <c r="J14" s="13">
        <v>4</v>
      </c>
      <c r="K14" s="13" t="s">
        <v>482</v>
      </c>
      <c r="L14" s="13">
        <v>9</v>
      </c>
      <c r="M14" s="13" t="s">
        <v>483</v>
      </c>
      <c r="N14" s="13">
        <v>15</v>
      </c>
      <c r="O14" s="13" t="s">
        <v>484</v>
      </c>
      <c r="R14" s="13" t="s">
        <v>485</v>
      </c>
      <c r="S14" s="13">
        <v>1200</v>
      </c>
      <c r="T14" s="13">
        <v>1</v>
      </c>
      <c r="U14" s="15" t="s">
        <v>486</v>
      </c>
      <c r="AC14" s="17" t="s">
        <v>487</v>
      </c>
      <c r="AD14" s="13" t="s">
        <v>488</v>
      </c>
      <c r="AH14" s="13" t="s">
        <v>489</v>
      </c>
    </row>
    <row r="15" customHeight="1" spans="1:34">
      <c r="A15" s="12">
        <v>14</v>
      </c>
      <c r="B15" s="13" t="s">
        <v>490</v>
      </c>
      <c r="C15" s="13" t="s">
        <v>59</v>
      </c>
      <c r="D15" s="13" t="s">
        <v>491</v>
      </c>
      <c r="E15" s="13" t="s">
        <v>492</v>
      </c>
      <c r="F15" s="12">
        <v>14</v>
      </c>
      <c r="I15" s="13" t="s">
        <v>493</v>
      </c>
      <c r="J15" s="13">
        <v>4</v>
      </c>
      <c r="K15" s="13" t="s">
        <v>494</v>
      </c>
      <c r="L15" s="13">
        <v>8</v>
      </c>
      <c r="M15" s="13" t="s">
        <v>495</v>
      </c>
      <c r="N15" s="13">
        <v>12</v>
      </c>
      <c r="O15" s="13" t="s">
        <v>496</v>
      </c>
      <c r="R15" s="13" t="s">
        <v>497</v>
      </c>
      <c r="S15" s="13">
        <v>250</v>
      </c>
      <c r="T15" s="13">
        <v>1</v>
      </c>
      <c r="U15" s="15" t="s">
        <v>498</v>
      </c>
      <c r="AC15" s="17" t="s">
        <v>499</v>
      </c>
      <c r="AD15" s="13" t="s">
        <v>329</v>
      </c>
      <c r="AH15" s="13" t="s">
        <v>500</v>
      </c>
    </row>
    <row r="16" customHeight="1" spans="1:34">
      <c r="A16" s="12">
        <v>15</v>
      </c>
      <c r="B16" s="13" t="s">
        <v>501</v>
      </c>
      <c r="C16" s="13" t="s">
        <v>59</v>
      </c>
      <c r="D16" s="13" t="s">
        <v>502</v>
      </c>
      <c r="E16" s="13" t="s">
        <v>503</v>
      </c>
      <c r="F16" s="12">
        <v>15</v>
      </c>
      <c r="I16" s="13" t="s">
        <v>504</v>
      </c>
      <c r="J16" s="13">
        <v>4</v>
      </c>
      <c r="K16" s="13" t="s">
        <v>505</v>
      </c>
      <c r="L16" s="13">
        <v>8</v>
      </c>
      <c r="M16" s="13" t="s">
        <v>506</v>
      </c>
      <c r="N16" s="13">
        <v>12</v>
      </c>
      <c r="O16" s="13" t="s">
        <v>507</v>
      </c>
      <c r="R16" s="13" t="s">
        <v>296</v>
      </c>
      <c r="S16" s="13">
        <v>250</v>
      </c>
      <c r="T16" s="13">
        <v>1</v>
      </c>
      <c r="U16" s="15" t="s">
        <v>508</v>
      </c>
      <c r="AC16" s="17" t="s">
        <v>509</v>
      </c>
      <c r="AD16" s="13" t="s">
        <v>343</v>
      </c>
      <c r="AH16" s="13" t="s">
        <v>510</v>
      </c>
    </row>
    <row r="17" customHeight="1" spans="1:34">
      <c r="A17" s="12">
        <v>16</v>
      </c>
      <c r="B17" s="13" t="s">
        <v>511</v>
      </c>
      <c r="C17" s="13" t="s">
        <v>76</v>
      </c>
      <c r="D17" s="13" t="s">
        <v>512</v>
      </c>
      <c r="E17" s="13" t="s">
        <v>513</v>
      </c>
      <c r="F17" s="12">
        <v>16</v>
      </c>
      <c r="I17" s="13" t="s">
        <v>514</v>
      </c>
      <c r="J17" s="13">
        <v>3</v>
      </c>
      <c r="K17" s="13" t="s">
        <v>515</v>
      </c>
      <c r="L17" s="13">
        <v>7</v>
      </c>
      <c r="M17" s="13" t="s">
        <v>516</v>
      </c>
      <c r="N17" s="13">
        <v>12</v>
      </c>
      <c r="O17" s="13" t="s">
        <v>517</v>
      </c>
      <c r="R17" s="13" t="s">
        <v>518</v>
      </c>
      <c r="S17" s="13">
        <v>250</v>
      </c>
      <c r="T17" s="13">
        <v>1</v>
      </c>
      <c r="U17" s="15" t="s">
        <v>519</v>
      </c>
      <c r="AC17" s="17" t="s">
        <v>520</v>
      </c>
      <c r="AD17" s="13" t="s">
        <v>343</v>
      </c>
      <c r="AH17" s="13" t="s">
        <v>521</v>
      </c>
    </row>
    <row r="18" customHeight="1" spans="1:34">
      <c r="A18" s="12">
        <v>17</v>
      </c>
      <c r="B18" s="13" t="s">
        <v>522</v>
      </c>
      <c r="C18" s="13" t="s">
        <v>76</v>
      </c>
      <c r="D18" s="13" t="s">
        <v>523</v>
      </c>
      <c r="E18" s="13" t="s">
        <v>524</v>
      </c>
      <c r="F18" s="12">
        <v>17</v>
      </c>
      <c r="I18" s="13" t="s">
        <v>525</v>
      </c>
      <c r="J18" s="13">
        <v>4</v>
      </c>
      <c r="K18" s="13" t="s">
        <v>526</v>
      </c>
      <c r="L18" s="13">
        <v>9</v>
      </c>
      <c r="M18" s="13" t="s">
        <v>527</v>
      </c>
      <c r="N18" s="13">
        <v>15</v>
      </c>
      <c r="O18" s="13" t="s">
        <v>528</v>
      </c>
      <c r="R18" s="13" t="s">
        <v>529</v>
      </c>
      <c r="S18" s="13">
        <v>250</v>
      </c>
      <c r="T18" s="13">
        <v>1</v>
      </c>
      <c r="U18" s="15" t="s">
        <v>530</v>
      </c>
      <c r="AC18" s="17" t="s">
        <v>531</v>
      </c>
      <c r="AD18" s="13" t="s">
        <v>532</v>
      </c>
      <c r="AH18" s="13" t="s">
        <v>533</v>
      </c>
    </row>
    <row r="19" customHeight="1" spans="1:34">
      <c r="A19" s="12">
        <v>18</v>
      </c>
      <c r="B19" s="13" t="s">
        <v>534</v>
      </c>
      <c r="C19" s="13" t="s">
        <v>76</v>
      </c>
      <c r="D19" s="13" t="s">
        <v>535</v>
      </c>
      <c r="E19" s="13" t="s">
        <v>536</v>
      </c>
      <c r="F19" s="12">
        <v>18</v>
      </c>
      <c r="I19" s="13" t="s">
        <v>537</v>
      </c>
      <c r="J19" s="13">
        <v>6</v>
      </c>
      <c r="K19" s="13" t="s">
        <v>538</v>
      </c>
      <c r="L19" s="13">
        <v>12</v>
      </c>
      <c r="M19" s="13" t="s">
        <v>539</v>
      </c>
      <c r="N19" s="13">
        <v>18</v>
      </c>
      <c r="O19" s="13" t="s">
        <v>540</v>
      </c>
      <c r="R19" s="13" t="s">
        <v>541</v>
      </c>
      <c r="S19" s="13">
        <v>1000</v>
      </c>
      <c r="T19" s="13">
        <v>1</v>
      </c>
      <c r="U19" s="15" t="s">
        <v>542</v>
      </c>
      <c r="AC19" s="17" t="s">
        <v>543</v>
      </c>
      <c r="AD19" s="13" t="s">
        <v>544</v>
      </c>
      <c r="AH19" s="13" t="s">
        <v>545</v>
      </c>
    </row>
    <row r="20" customHeight="1" spans="1:34">
      <c r="A20" s="12">
        <v>19</v>
      </c>
      <c r="B20" s="13" t="s">
        <v>546</v>
      </c>
      <c r="C20" s="13" t="s">
        <v>89</v>
      </c>
      <c r="D20" s="13" t="s">
        <v>547</v>
      </c>
      <c r="E20" s="13" t="s">
        <v>548</v>
      </c>
      <c r="F20" s="12">
        <v>19</v>
      </c>
      <c r="I20" s="13" t="s">
        <v>549</v>
      </c>
      <c r="J20" s="13">
        <v>4</v>
      </c>
      <c r="K20" s="13" t="s">
        <v>550</v>
      </c>
      <c r="L20" s="13">
        <v>9</v>
      </c>
      <c r="M20" s="13" t="s">
        <v>551</v>
      </c>
      <c r="N20" s="13">
        <v>15</v>
      </c>
      <c r="O20" s="13" t="s">
        <v>552</v>
      </c>
      <c r="R20" s="13" t="s">
        <v>553</v>
      </c>
      <c r="S20" s="13">
        <v>500</v>
      </c>
      <c r="T20" s="13">
        <v>1</v>
      </c>
      <c r="U20" s="15" t="s">
        <v>554</v>
      </c>
      <c r="AC20" s="17" t="s">
        <v>555</v>
      </c>
      <c r="AD20" s="13" t="s">
        <v>556</v>
      </c>
      <c r="AH20" s="13" t="s">
        <v>557</v>
      </c>
    </row>
    <row r="21" customHeight="1" spans="1:34">
      <c r="A21" s="12">
        <v>20</v>
      </c>
      <c r="B21" s="13" t="s">
        <v>558</v>
      </c>
      <c r="C21" s="13" t="s">
        <v>89</v>
      </c>
      <c r="D21" s="13" t="s">
        <v>559</v>
      </c>
      <c r="E21" s="13" t="s">
        <v>560</v>
      </c>
      <c r="F21" s="12">
        <v>20</v>
      </c>
      <c r="I21" s="13" t="s">
        <v>561</v>
      </c>
      <c r="J21" s="13">
        <v>4</v>
      </c>
      <c r="K21" s="13" t="s">
        <v>562</v>
      </c>
      <c r="L21" s="13">
        <v>8</v>
      </c>
      <c r="M21" s="13" t="s">
        <v>563</v>
      </c>
      <c r="N21" s="13">
        <v>12</v>
      </c>
      <c r="O21" s="13" t="s">
        <v>564</v>
      </c>
      <c r="R21" s="13" t="s">
        <v>565</v>
      </c>
      <c r="S21" s="13">
        <v>250</v>
      </c>
      <c r="T21" s="13">
        <v>1</v>
      </c>
      <c r="U21" s="15" t="s">
        <v>566</v>
      </c>
      <c r="AC21" s="17" t="s">
        <v>567</v>
      </c>
      <c r="AD21" s="13" t="s">
        <v>568</v>
      </c>
      <c r="AH21" s="13" t="s">
        <v>569</v>
      </c>
    </row>
    <row r="22" customHeight="1" spans="1:34">
      <c r="A22" s="12">
        <v>21</v>
      </c>
      <c r="B22" s="13" t="s">
        <v>570</v>
      </c>
      <c r="C22" s="13" t="s">
        <v>89</v>
      </c>
      <c r="D22" s="13" t="s">
        <v>571</v>
      </c>
      <c r="E22" s="13" t="s">
        <v>572</v>
      </c>
      <c r="F22" s="12">
        <v>21</v>
      </c>
      <c r="I22" s="13" t="s">
        <v>573</v>
      </c>
      <c r="J22" s="13">
        <v>4</v>
      </c>
      <c r="K22" s="13" t="s">
        <v>574</v>
      </c>
      <c r="L22" s="13">
        <v>8</v>
      </c>
      <c r="M22" s="13" t="s">
        <v>575</v>
      </c>
      <c r="N22" s="13">
        <v>12</v>
      </c>
      <c r="O22" s="13" t="s">
        <v>576</v>
      </c>
      <c r="R22" s="13" t="s">
        <v>577</v>
      </c>
      <c r="S22" s="13">
        <v>250</v>
      </c>
      <c r="T22" s="13">
        <v>1</v>
      </c>
      <c r="U22" s="15" t="s">
        <v>578</v>
      </c>
      <c r="AC22" s="17" t="s">
        <v>579</v>
      </c>
      <c r="AD22" s="13" t="s">
        <v>580</v>
      </c>
      <c r="AH22" s="13" t="s">
        <v>581</v>
      </c>
    </row>
    <row r="23" customHeight="1" spans="1:34">
      <c r="A23" s="12">
        <v>22</v>
      </c>
      <c r="B23" s="13" t="s">
        <v>582</v>
      </c>
      <c r="C23" s="13" t="s">
        <v>99</v>
      </c>
      <c r="D23" s="13" t="s">
        <v>583</v>
      </c>
      <c r="E23" s="13" t="s">
        <v>584</v>
      </c>
      <c r="F23" s="12">
        <v>22</v>
      </c>
      <c r="I23" s="13" t="s">
        <v>195</v>
      </c>
      <c r="R23" s="13" t="s">
        <v>585</v>
      </c>
      <c r="S23" s="13">
        <v>250</v>
      </c>
      <c r="T23" s="13">
        <v>1</v>
      </c>
      <c r="U23" s="15" t="s">
        <v>586</v>
      </c>
      <c r="AC23" s="17" t="s">
        <v>587</v>
      </c>
      <c r="AD23" s="13" t="s">
        <v>588</v>
      </c>
      <c r="AH23" s="13" t="s">
        <v>589</v>
      </c>
    </row>
    <row r="24" customHeight="1" spans="1:34">
      <c r="A24" s="12">
        <v>23</v>
      </c>
      <c r="B24" s="13" t="s">
        <v>590</v>
      </c>
      <c r="C24" s="13" t="s">
        <v>99</v>
      </c>
      <c r="D24" s="13" t="s">
        <v>591</v>
      </c>
      <c r="E24" s="13" t="s">
        <v>592</v>
      </c>
      <c r="F24" s="12">
        <v>23</v>
      </c>
      <c r="H24" s="14" t="s">
        <v>593</v>
      </c>
      <c r="I24" s="13" t="s">
        <v>231</v>
      </c>
      <c r="J24" s="13">
        <v>4</v>
      </c>
      <c r="K24" s="13" t="s">
        <v>594</v>
      </c>
      <c r="L24" s="13">
        <v>9</v>
      </c>
      <c r="M24" s="13" t="s">
        <v>595</v>
      </c>
      <c r="N24" s="13">
        <v>16</v>
      </c>
      <c r="O24" s="13" t="s">
        <v>596</v>
      </c>
      <c r="R24" s="13" t="s">
        <v>195</v>
      </c>
      <c r="AC24" s="17" t="s">
        <v>597</v>
      </c>
      <c r="AD24" s="13" t="s">
        <v>598</v>
      </c>
      <c r="AH24" s="13" t="s">
        <v>599</v>
      </c>
    </row>
    <row r="25" customHeight="1" spans="1:30">
      <c r="A25" s="12">
        <v>24</v>
      </c>
      <c r="B25" s="13" t="s">
        <v>600</v>
      </c>
      <c r="C25" s="13" t="s">
        <v>26</v>
      </c>
      <c r="D25" s="13" t="s">
        <v>601</v>
      </c>
      <c r="E25" s="13" t="s">
        <v>602</v>
      </c>
      <c r="F25" s="12">
        <v>24</v>
      </c>
      <c r="I25" s="13" t="s">
        <v>237</v>
      </c>
      <c r="J25" s="13">
        <v>4</v>
      </c>
      <c r="K25" s="13" t="s">
        <v>603</v>
      </c>
      <c r="L25" s="13">
        <v>8</v>
      </c>
      <c r="M25" s="13" t="s">
        <v>604</v>
      </c>
      <c r="N25" s="13">
        <v>12</v>
      </c>
      <c r="O25" s="13" t="s">
        <v>605</v>
      </c>
      <c r="Q25" s="14" t="s">
        <v>606</v>
      </c>
      <c r="R25" s="13" t="s">
        <v>607</v>
      </c>
      <c r="S25" s="13">
        <v>55</v>
      </c>
      <c r="T25" s="13">
        <v>1</v>
      </c>
      <c r="U25" s="15" t="s">
        <v>608</v>
      </c>
      <c r="AC25" s="17" t="s">
        <v>609</v>
      </c>
      <c r="AD25" s="13" t="s">
        <v>610</v>
      </c>
    </row>
    <row r="26" customHeight="1" spans="1:21">
      <c r="A26" s="12">
        <v>25</v>
      </c>
      <c r="B26" s="13" t="s">
        <v>611</v>
      </c>
      <c r="C26" s="13" t="s">
        <v>109</v>
      </c>
      <c r="D26" s="13" t="s">
        <v>612</v>
      </c>
      <c r="E26" s="13" t="s">
        <v>613</v>
      </c>
      <c r="F26" s="12">
        <v>25</v>
      </c>
      <c r="I26" s="13" t="s">
        <v>614</v>
      </c>
      <c r="J26" s="13">
        <v>3</v>
      </c>
      <c r="K26" s="13" t="s">
        <v>615</v>
      </c>
      <c r="L26" s="13">
        <v>7</v>
      </c>
      <c r="M26" s="13" t="s">
        <v>616</v>
      </c>
      <c r="N26" s="13">
        <v>12</v>
      </c>
      <c r="O26" s="13" t="s">
        <v>617</v>
      </c>
      <c r="R26" s="13" t="s">
        <v>618</v>
      </c>
      <c r="S26" s="13">
        <v>126</v>
      </c>
      <c r="T26" s="13">
        <v>1</v>
      </c>
      <c r="U26" s="15" t="s">
        <v>619</v>
      </c>
    </row>
    <row r="27" customHeight="1" spans="1:21">
      <c r="A27" s="12">
        <v>26</v>
      </c>
      <c r="B27" s="13" t="s">
        <v>620</v>
      </c>
      <c r="C27" s="13" t="s">
        <v>109</v>
      </c>
      <c r="D27" s="13" t="s">
        <v>621</v>
      </c>
      <c r="E27" s="13" t="s">
        <v>622</v>
      </c>
      <c r="F27" s="12">
        <v>26</v>
      </c>
      <c r="I27" s="13" t="s">
        <v>623</v>
      </c>
      <c r="J27" s="13">
        <v>5</v>
      </c>
      <c r="K27" s="13" t="s">
        <v>624</v>
      </c>
      <c r="L27" s="13">
        <v>10</v>
      </c>
      <c r="M27" s="13" t="s">
        <v>625</v>
      </c>
      <c r="N27" s="13">
        <v>15</v>
      </c>
      <c r="O27" s="13" t="s">
        <v>626</v>
      </c>
      <c r="R27" s="13" t="s">
        <v>627</v>
      </c>
      <c r="S27" s="13">
        <v>167</v>
      </c>
      <c r="T27" s="13">
        <v>1</v>
      </c>
      <c r="U27" s="15" t="s">
        <v>628</v>
      </c>
    </row>
    <row r="28" customHeight="1" spans="1:21">
      <c r="A28" s="12">
        <v>27</v>
      </c>
      <c r="B28" s="13" t="s">
        <v>629</v>
      </c>
      <c r="C28" s="13" t="s">
        <v>109</v>
      </c>
      <c r="D28" s="13" t="s">
        <v>630</v>
      </c>
      <c r="E28" s="13" t="s">
        <v>560</v>
      </c>
      <c r="F28" s="12">
        <v>27</v>
      </c>
      <c r="I28" s="13" t="s">
        <v>631</v>
      </c>
      <c r="J28" s="13">
        <v>4</v>
      </c>
      <c r="K28" s="13" t="s">
        <v>632</v>
      </c>
      <c r="L28" s="13">
        <v>9</v>
      </c>
      <c r="M28" s="13" t="s">
        <v>633</v>
      </c>
      <c r="N28" s="13">
        <v>15</v>
      </c>
      <c r="O28" s="13" t="s">
        <v>634</v>
      </c>
      <c r="R28" s="13" t="s">
        <v>635</v>
      </c>
      <c r="S28" s="13">
        <v>282</v>
      </c>
      <c r="T28" s="13">
        <v>1</v>
      </c>
      <c r="U28" s="15" t="s">
        <v>636</v>
      </c>
    </row>
    <row r="29" customHeight="1" spans="1:21">
      <c r="A29" s="12">
        <v>28</v>
      </c>
      <c r="B29" s="13" t="s">
        <v>637</v>
      </c>
      <c r="C29" s="13" t="s">
        <v>122</v>
      </c>
      <c r="D29" s="13" t="s">
        <v>638</v>
      </c>
      <c r="E29" s="13" t="s">
        <v>639</v>
      </c>
      <c r="F29" s="12">
        <v>28</v>
      </c>
      <c r="I29" s="13" t="s">
        <v>640</v>
      </c>
      <c r="J29" s="13">
        <v>5</v>
      </c>
      <c r="K29" s="13" t="s">
        <v>641</v>
      </c>
      <c r="L29" s="13">
        <v>10</v>
      </c>
      <c r="M29" s="13" t="s">
        <v>642</v>
      </c>
      <c r="N29" s="13">
        <v>15</v>
      </c>
      <c r="O29" s="13" t="s">
        <v>643</v>
      </c>
      <c r="R29" s="13" t="s">
        <v>644</v>
      </c>
      <c r="S29" s="13">
        <v>250</v>
      </c>
      <c r="T29" s="13">
        <v>1</v>
      </c>
      <c r="U29" s="15" t="s">
        <v>645</v>
      </c>
    </row>
    <row r="30" customHeight="1" spans="1:18">
      <c r="A30" s="12">
        <v>29</v>
      </c>
      <c r="B30" s="13" t="s">
        <v>646</v>
      </c>
      <c r="C30" s="13" t="s">
        <v>122</v>
      </c>
      <c r="D30" s="13" t="s">
        <v>647</v>
      </c>
      <c r="E30" s="13" t="s">
        <v>648</v>
      </c>
      <c r="F30" s="12">
        <v>29</v>
      </c>
      <c r="I30" s="13" t="s">
        <v>649</v>
      </c>
      <c r="J30" s="13">
        <v>11</v>
      </c>
      <c r="K30" s="13" t="s">
        <v>650</v>
      </c>
      <c r="L30" s="13">
        <v>33</v>
      </c>
      <c r="M30" s="13" t="s">
        <v>651</v>
      </c>
      <c r="Q30" s="14" t="s">
        <v>652</v>
      </c>
      <c r="R30" s="13" t="s">
        <v>195</v>
      </c>
    </row>
    <row r="31" customHeight="1" spans="1:21">
      <c r="A31" s="12">
        <v>30</v>
      </c>
      <c r="B31" s="13" t="s">
        <v>653</v>
      </c>
      <c r="C31" s="13" t="s">
        <v>122</v>
      </c>
      <c r="D31" s="13" t="s">
        <v>654</v>
      </c>
      <c r="E31" s="13" t="s">
        <v>655</v>
      </c>
      <c r="F31" s="12">
        <v>30</v>
      </c>
      <c r="I31" s="13" t="s">
        <v>656</v>
      </c>
      <c r="J31" s="13">
        <v>7</v>
      </c>
      <c r="K31" s="13" t="s">
        <v>657</v>
      </c>
      <c r="L31" s="13">
        <v>15</v>
      </c>
      <c r="M31" s="13" t="s">
        <v>658</v>
      </c>
      <c r="N31" s="13">
        <v>24</v>
      </c>
      <c r="O31" s="13" t="s">
        <v>659</v>
      </c>
      <c r="R31" s="13" t="s">
        <v>660</v>
      </c>
      <c r="S31" s="13">
        <v>34</v>
      </c>
      <c r="T31" s="13">
        <v>1</v>
      </c>
      <c r="U31" s="15" t="s">
        <v>661</v>
      </c>
    </row>
    <row r="32" customHeight="1" spans="1:21">
      <c r="A32" s="12">
        <v>31</v>
      </c>
      <c r="B32" s="13" t="s">
        <v>662</v>
      </c>
      <c r="C32" s="13" t="s">
        <v>139</v>
      </c>
      <c r="D32" s="13" t="s">
        <v>663</v>
      </c>
      <c r="E32" s="13" t="s">
        <v>664</v>
      </c>
      <c r="F32" s="12">
        <v>31</v>
      </c>
      <c r="I32" s="13" t="s">
        <v>665</v>
      </c>
      <c r="J32" s="13">
        <v>8</v>
      </c>
      <c r="K32" s="13" t="s">
        <v>666</v>
      </c>
      <c r="L32" s="13">
        <v>18</v>
      </c>
      <c r="M32" s="13" t="s">
        <v>667</v>
      </c>
      <c r="R32" s="13" t="s">
        <v>668</v>
      </c>
      <c r="S32" s="13">
        <v>98</v>
      </c>
      <c r="T32" s="13">
        <v>1</v>
      </c>
      <c r="U32" s="15" t="s">
        <v>669</v>
      </c>
    </row>
    <row r="33" customHeight="1" spans="1:21">
      <c r="A33" s="12">
        <v>32</v>
      </c>
      <c r="B33" s="13" t="s">
        <v>670</v>
      </c>
      <c r="C33" s="13" t="s">
        <v>139</v>
      </c>
      <c r="D33" s="13" t="s">
        <v>671</v>
      </c>
      <c r="E33" s="13" t="s">
        <v>672</v>
      </c>
      <c r="F33" s="12">
        <v>32</v>
      </c>
      <c r="I33" s="13" t="s">
        <v>673</v>
      </c>
      <c r="J33" s="13">
        <v>4</v>
      </c>
      <c r="K33" s="13" t="s">
        <v>674</v>
      </c>
      <c r="L33" s="13">
        <v>9</v>
      </c>
      <c r="M33" s="13" t="s">
        <v>675</v>
      </c>
      <c r="N33" s="13">
        <v>16</v>
      </c>
      <c r="O33" s="13" t="s">
        <v>676</v>
      </c>
      <c r="R33" s="13" t="s">
        <v>677</v>
      </c>
      <c r="S33" s="13">
        <v>145</v>
      </c>
      <c r="T33" s="13">
        <v>1</v>
      </c>
      <c r="U33" s="15" t="s">
        <v>678</v>
      </c>
    </row>
    <row r="34" customHeight="1" spans="1:21">
      <c r="A34" s="12">
        <v>33</v>
      </c>
      <c r="B34" s="13" t="s">
        <v>679</v>
      </c>
      <c r="C34" s="13" t="s">
        <v>139</v>
      </c>
      <c r="D34" s="13" t="s">
        <v>680</v>
      </c>
      <c r="E34" s="13" t="s">
        <v>681</v>
      </c>
      <c r="F34" s="12">
        <v>33</v>
      </c>
      <c r="I34" s="13" t="s">
        <v>682</v>
      </c>
      <c r="J34" s="13">
        <v>5</v>
      </c>
      <c r="K34" s="13" t="s">
        <v>683</v>
      </c>
      <c r="L34" s="13">
        <v>11</v>
      </c>
      <c r="M34" s="13" t="s">
        <v>684</v>
      </c>
      <c r="N34" s="13">
        <v>18</v>
      </c>
      <c r="O34" s="13" t="s">
        <v>685</v>
      </c>
      <c r="R34" s="13" t="s">
        <v>686</v>
      </c>
      <c r="S34" s="13">
        <v>400</v>
      </c>
      <c r="T34" s="13">
        <v>1</v>
      </c>
      <c r="U34" s="15" t="s">
        <v>687</v>
      </c>
    </row>
    <row r="35" customHeight="1" spans="1:18">
      <c r="A35" s="12">
        <v>34</v>
      </c>
      <c r="B35" s="13" t="s">
        <v>688</v>
      </c>
      <c r="C35" s="13" t="s">
        <v>142</v>
      </c>
      <c r="D35" s="13" t="s">
        <v>689</v>
      </c>
      <c r="E35" s="13" t="s">
        <v>690</v>
      </c>
      <c r="F35" s="12">
        <v>34</v>
      </c>
      <c r="I35" s="13" t="s">
        <v>691</v>
      </c>
      <c r="J35" s="13">
        <v>4</v>
      </c>
      <c r="K35" s="13" t="s">
        <v>692</v>
      </c>
      <c r="L35" s="13">
        <v>9</v>
      </c>
      <c r="M35" s="13" t="s">
        <v>693</v>
      </c>
      <c r="N35" s="13">
        <v>15</v>
      </c>
      <c r="O35" s="13" t="s">
        <v>694</v>
      </c>
      <c r="R35" s="13" t="s">
        <v>195</v>
      </c>
    </row>
    <row r="36" customHeight="1" spans="1:21">
      <c r="A36" s="12">
        <v>35</v>
      </c>
      <c r="B36" s="13" t="s">
        <v>695</v>
      </c>
      <c r="C36" s="13" t="s">
        <v>142</v>
      </c>
      <c r="D36" s="13" t="s">
        <v>696</v>
      </c>
      <c r="E36" s="13" t="s">
        <v>697</v>
      </c>
      <c r="F36" s="12">
        <v>35</v>
      </c>
      <c r="I36" s="13" t="s">
        <v>698</v>
      </c>
      <c r="J36" s="13">
        <v>9</v>
      </c>
      <c r="K36" s="13" t="s">
        <v>699</v>
      </c>
      <c r="L36" s="13">
        <v>18</v>
      </c>
      <c r="M36" s="13" t="s">
        <v>700</v>
      </c>
      <c r="Q36" s="14" t="s">
        <v>701</v>
      </c>
      <c r="R36" s="13" t="s">
        <v>702</v>
      </c>
      <c r="S36" s="13">
        <v>6</v>
      </c>
      <c r="T36" s="13">
        <v>0.2</v>
      </c>
      <c r="U36" s="15" t="s">
        <v>703</v>
      </c>
    </row>
    <row r="37" customHeight="1" spans="1:21">
      <c r="A37" s="12">
        <v>36</v>
      </c>
      <c r="B37" s="13" t="s">
        <v>704</v>
      </c>
      <c r="C37" s="13" t="s">
        <v>142</v>
      </c>
      <c r="D37" s="13" t="s">
        <v>705</v>
      </c>
      <c r="E37" s="13" t="s">
        <v>706</v>
      </c>
      <c r="F37" s="12">
        <v>36</v>
      </c>
      <c r="I37" s="13" t="s">
        <v>707</v>
      </c>
      <c r="J37" s="13">
        <v>5</v>
      </c>
      <c r="K37" s="13" t="s">
        <v>708</v>
      </c>
      <c r="L37" s="13">
        <v>11</v>
      </c>
      <c r="M37" s="13" t="s">
        <v>709</v>
      </c>
      <c r="N37" s="13">
        <v>18</v>
      </c>
      <c r="O37" s="13" t="s">
        <v>710</v>
      </c>
      <c r="R37" s="13" t="s">
        <v>711</v>
      </c>
      <c r="S37" s="13">
        <v>8</v>
      </c>
      <c r="T37" s="13">
        <v>0.2</v>
      </c>
      <c r="U37" s="15" t="s">
        <v>712</v>
      </c>
    </row>
    <row r="38" customHeight="1" spans="1:21">
      <c r="A38" s="12">
        <v>37</v>
      </c>
      <c r="B38" s="13" t="s">
        <v>713</v>
      </c>
      <c r="C38" s="13" t="s">
        <v>148</v>
      </c>
      <c r="D38" s="13" t="s">
        <v>714</v>
      </c>
      <c r="E38" s="13" t="s">
        <v>715</v>
      </c>
      <c r="F38" s="12">
        <v>37</v>
      </c>
      <c r="I38" s="13" t="s">
        <v>716</v>
      </c>
      <c r="J38" s="13">
        <v>6</v>
      </c>
      <c r="K38" s="13" t="s">
        <v>717</v>
      </c>
      <c r="L38" s="13">
        <v>14</v>
      </c>
      <c r="M38" s="13" t="s">
        <v>718</v>
      </c>
      <c r="N38" s="13">
        <v>24</v>
      </c>
      <c r="O38" s="13" t="s">
        <v>719</v>
      </c>
      <c r="R38" s="13" t="s">
        <v>720</v>
      </c>
      <c r="S38" s="13">
        <v>8</v>
      </c>
      <c r="T38" s="13">
        <v>0.2</v>
      </c>
      <c r="U38" s="15" t="s">
        <v>721</v>
      </c>
    </row>
    <row r="39" customHeight="1" spans="1:21">
      <c r="A39" s="12">
        <v>38</v>
      </c>
      <c r="B39" s="13" t="s">
        <v>722</v>
      </c>
      <c r="C39" s="13" t="s">
        <v>148</v>
      </c>
      <c r="D39" s="13" t="s">
        <v>723</v>
      </c>
      <c r="E39" s="13" t="s">
        <v>724</v>
      </c>
      <c r="F39" s="12">
        <v>38</v>
      </c>
      <c r="I39" s="13" t="s">
        <v>725</v>
      </c>
      <c r="J39" s="13">
        <v>12</v>
      </c>
      <c r="K39" s="13" t="s">
        <v>726</v>
      </c>
      <c r="R39" s="13" t="s">
        <v>727</v>
      </c>
      <c r="S39" s="13">
        <v>6</v>
      </c>
      <c r="T39" s="13">
        <v>0.2</v>
      </c>
      <c r="U39" s="15" t="s">
        <v>728</v>
      </c>
    </row>
    <row r="40" customHeight="1" spans="1:21">
      <c r="A40" s="12">
        <v>39</v>
      </c>
      <c r="B40" s="13" t="s">
        <v>729</v>
      </c>
      <c r="C40" s="13" t="s">
        <v>148</v>
      </c>
      <c r="D40" s="13" t="s">
        <v>730</v>
      </c>
      <c r="E40" s="13" t="s">
        <v>731</v>
      </c>
      <c r="F40" s="12">
        <v>39</v>
      </c>
      <c r="I40" s="13" t="s">
        <v>732</v>
      </c>
      <c r="J40" s="13">
        <v>5</v>
      </c>
      <c r="K40" s="13" t="s">
        <v>733</v>
      </c>
      <c r="L40" s="13">
        <v>10</v>
      </c>
      <c r="M40" s="13" t="s">
        <v>734</v>
      </c>
      <c r="N40" s="13">
        <v>15</v>
      </c>
      <c r="O40" s="13" t="s">
        <v>735</v>
      </c>
      <c r="R40" s="13" t="s">
        <v>736</v>
      </c>
      <c r="S40" s="13">
        <v>20</v>
      </c>
      <c r="T40" s="13">
        <v>0.2</v>
      </c>
      <c r="U40" s="15" t="s">
        <v>737</v>
      </c>
    </row>
    <row r="41" customHeight="1" spans="1:21">
      <c r="A41" s="12">
        <v>40</v>
      </c>
      <c r="B41" s="13" t="s">
        <v>738</v>
      </c>
      <c r="C41" s="13" t="s">
        <v>149</v>
      </c>
      <c r="D41" s="13" t="s">
        <v>739</v>
      </c>
      <c r="E41" s="13" t="s">
        <v>740</v>
      </c>
      <c r="F41" s="12">
        <v>40</v>
      </c>
      <c r="I41" s="13" t="s">
        <v>741</v>
      </c>
      <c r="J41" s="13">
        <v>5</v>
      </c>
      <c r="K41" s="13" t="s">
        <v>742</v>
      </c>
      <c r="L41" s="13">
        <v>11</v>
      </c>
      <c r="M41" s="13" t="s">
        <v>743</v>
      </c>
      <c r="N41" s="13">
        <v>18</v>
      </c>
      <c r="O41" s="13" t="s">
        <v>744</v>
      </c>
      <c r="R41" s="13" t="s">
        <v>745</v>
      </c>
      <c r="S41" s="13">
        <v>70</v>
      </c>
      <c r="T41" s="13">
        <v>0.3</v>
      </c>
      <c r="U41" s="15" t="s">
        <v>746</v>
      </c>
    </row>
    <row r="42" customHeight="1" spans="1:21">
      <c r="A42" s="12">
        <v>41</v>
      </c>
      <c r="B42" s="13" t="s">
        <v>747</v>
      </c>
      <c r="C42" s="13" t="s">
        <v>149</v>
      </c>
      <c r="D42" s="13" t="s">
        <v>748</v>
      </c>
      <c r="E42" s="13" t="s">
        <v>749</v>
      </c>
      <c r="F42" s="12">
        <v>41</v>
      </c>
      <c r="I42" s="13" t="s">
        <v>750</v>
      </c>
      <c r="J42" s="13">
        <v>5</v>
      </c>
      <c r="K42" s="13" t="s">
        <v>751</v>
      </c>
      <c r="L42" s="13">
        <v>11</v>
      </c>
      <c r="M42" s="13" t="s">
        <v>752</v>
      </c>
      <c r="N42" s="13">
        <v>18</v>
      </c>
      <c r="O42" s="13" t="s">
        <v>753</v>
      </c>
      <c r="R42" s="13" t="s">
        <v>754</v>
      </c>
      <c r="S42" s="13">
        <v>70</v>
      </c>
      <c r="T42" s="13">
        <v>0.7</v>
      </c>
      <c r="U42" s="15" t="s">
        <v>755</v>
      </c>
    </row>
    <row r="43" customHeight="1" spans="1:21">
      <c r="A43" s="12">
        <v>42</v>
      </c>
      <c r="B43" s="13" t="s">
        <v>756</v>
      </c>
      <c r="C43" s="13" t="s">
        <v>149</v>
      </c>
      <c r="D43" s="13" t="s">
        <v>757</v>
      </c>
      <c r="E43" s="13" t="s">
        <v>758</v>
      </c>
      <c r="F43" s="12">
        <v>42</v>
      </c>
      <c r="I43" s="13" t="s">
        <v>759</v>
      </c>
      <c r="J43" s="13">
        <v>5</v>
      </c>
      <c r="K43" s="13" t="s">
        <v>760</v>
      </c>
      <c r="L43" s="13">
        <v>12</v>
      </c>
      <c r="M43" s="13" t="s">
        <v>761</v>
      </c>
      <c r="N43" s="13">
        <v>21</v>
      </c>
      <c r="O43" s="13" t="s">
        <v>762</v>
      </c>
      <c r="R43" s="13" t="s">
        <v>763</v>
      </c>
      <c r="S43" s="13">
        <v>20</v>
      </c>
      <c r="T43" s="13">
        <v>1</v>
      </c>
      <c r="U43" s="15" t="s">
        <v>764</v>
      </c>
    </row>
    <row r="44" customHeight="1" spans="1:21">
      <c r="A44" s="12">
        <v>43</v>
      </c>
      <c r="B44" s="13" t="s">
        <v>765</v>
      </c>
      <c r="C44" s="13" t="s">
        <v>162</v>
      </c>
      <c r="D44" s="13" t="s">
        <v>766</v>
      </c>
      <c r="E44" s="13" t="s">
        <v>767</v>
      </c>
      <c r="F44" s="12">
        <v>43</v>
      </c>
      <c r="I44" s="13" t="s">
        <v>768</v>
      </c>
      <c r="J44" s="13">
        <v>8</v>
      </c>
      <c r="K44" s="13" t="s">
        <v>769</v>
      </c>
      <c r="L44" s="13">
        <v>17</v>
      </c>
      <c r="M44" s="13" t="s">
        <v>770</v>
      </c>
      <c r="N44" s="13">
        <v>27</v>
      </c>
      <c r="O44" s="13" t="s">
        <v>771</v>
      </c>
      <c r="R44" s="13" t="s">
        <v>306</v>
      </c>
      <c r="S44" s="13">
        <v>10</v>
      </c>
      <c r="T44" s="13">
        <v>1</v>
      </c>
      <c r="U44" s="15" t="s">
        <v>772</v>
      </c>
    </row>
    <row r="45" customHeight="1" spans="1:18">
      <c r="A45" s="12">
        <v>44</v>
      </c>
      <c r="B45" s="13" t="s">
        <v>773</v>
      </c>
      <c r="C45" s="13" t="s">
        <v>162</v>
      </c>
      <c r="D45" s="13" t="s">
        <v>774</v>
      </c>
      <c r="E45" s="13" t="s">
        <v>775</v>
      </c>
      <c r="F45" s="12">
        <v>44</v>
      </c>
      <c r="I45" s="13" t="s">
        <v>776</v>
      </c>
      <c r="J45" s="13">
        <v>4</v>
      </c>
      <c r="K45" s="13" t="s">
        <v>777</v>
      </c>
      <c r="L45" s="13">
        <v>8</v>
      </c>
      <c r="M45" s="13" t="s">
        <v>778</v>
      </c>
      <c r="N45" s="13">
        <v>12</v>
      </c>
      <c r="O45" s="13" t="s">
        <v>779</v>
      </c>
      <c r="R45" s="273" t="s">
        <v>195</v>
      </c>
    </row>
    <row r="46" customHeight="1" spans="1:21">
      <c r="A46" s="12">
        <v>45</v>
      </c>
      <c r="B46" s="13" t="s">
        <v>780</v>
      </c>
      <c r="C46" s="13" t="s">
        <v>162</v>
      </c>
      <c r="D46" s="13" t="s">
        <v>781</v>
      </c>
      <c r="E46" s="13" t="s">
        <v>782</v>
      </c>
      <c r="F46" s="12">
        <v>45</v>
      </c>
      <c r="I46" s="13" t="s">
        <v>783</v>
      </c>
      <c r="J46" s="13">
        <v>5</v>
      </c>
      <c r="K46" s="13" t="s">
        <v>784</v>
      </c>
      <c r="L46" s="13">
        <v>10</v>
      </c>
      <c r="M46" s="13" t="s">
        <v>785</v>
      </c>
      <c r="N46" s="13">
        <v>15</v>
      </c>
      <c r="O46" s="13" t="s">
        <v>786</v>
      </c>
      <c r="Q46" s="14" t="s">
        <v>787</v>
      </c>
      <c r="R46" s="13" t="s">
        <v>788</v>
      </c>
      <c r="S46" s="13">
        <v>10</v>
      </c>
      <c r="T46" s="13">
        <v>5</v>
      </c>
      <c r="U46" s="16" t="s">
        <v>789</v>
      </c>
    </row>
    <row r="47" customHeight="1" spans="1:21">
      <c r="A47" s="12">
        <v>46</v>
      </c>
      <c r="B47" s="13" t="s">
        <v>790</v>
      </c>
      <c r="C47" s="13" t="s">
        <v>163</v>
      </c>
      <c r="D47" s="13" t="s">
        <v>791</v>
      </c>
      <c r="E47" s="13" t="s">
        <v>792</v>
      </c>
      <c r="F47" s="12">
        <v>46</v>
      </c>
      <c r="I47" s="13" t="s">
        <v>793</v>
      </c>
      <c r="J47" s="13">
        <v>5</v>
      </c>
      <c r="K47" s="13" t="s">
        <v>794</v>
      </c>
      <c r="L47" s="13">
        <v>10</v>
      </c>
      <c r="M47" s="13" t="s">
        <v>795</v>
      </c>
      <c r="N47" s="13">
        <v>15</v>
      </c>
      <c r="O47" s="13" t="s">
        <v>796</v>
      </c>
      <c r="R47" s="13" t="s">
        <v>797</v>
      </c>
      <c r="S47" s="13">
        <v>20</v>
      </c>
      <c r="T47" s="13">
        <v>2</v>
      </c>
      <c r="U47" s="16" t="s">
        <v>798</v>
      </c>
    </row>
    <row r="48" customHeight="1" spans="1:21">
      <c r="A48" s="12">
        <v>47</v>
      </c>
      <c r="B48" s="13" t="s">
        <v>799</v>
      </c>
      <c r="C48" s="13" t="s">
        <v>163</v>
      </c>
      <c r="D48" s="13" t="s">
        <v>800</v>
      </c>
      <c r="E48" s="13" t="s">
        <v>801</v>
      </c>
      <c r="F48" s="12">
        <v>47</v>
      </c>
      <c r="I48" s="13" t="s">
        <v>802</v>
      </c>
      <c r="J48" s="13">
        <v>5</v>
      </c>
      <c r="K48" s="13" t="s">
        <v>803</v>
      </c>
      <c r="L48" s="13">
        <v>10</v>
      </c>
      <c r="M48" s="13" t="s">
        <v>804</v>
      </c>
      <c r="N48" s="13">
        <v>15</v>
      </c>
      <c r="O48" s="13" t="s">
        <v>805</v>
      </c>
      <c r="R48" s="13" t="s">
        <v>806</v>
      </c>
      <c r="S48" s="13">
        <v>50</v>
      </c>
      <c r="T48" s="13">
        <v>0.5</v>
      </c>
      <c r="U48" s="16" t="s">
        <v>798</v>
      </c>
    </row>
    <row r="49" customHeight="1" spans="1:21">
      <c r="A49" s="12">
        <v>48</v>
      </c>
      <c r="B49" s="13" t="s">
        <v>290</v>
      </c>
      <c r="C49" s="13" t="s">
        <v>163</v>
      </c>
      <c r="D49" s="13" t="s">
        <v>807</v>
      </c>
      <c r="E49" s="13" t="s">
        <v>808</v>
      </c>
      <c r="F49" s="12">
        <v>48</v>
      </c>
      <c r="I49" s="13" t="s">
        <v>809</v>
      </c>
      <c r="J49" s="13">
        <v>4</v>
      </c>
      <c r="K49" s="13" t="s">
        <v>810</v>
      </c>
      <c r="L49" s="13">
        <v>8</v>
      </c>
      <c r="M49" s="13" t="s">
        <v>811</v>
      </c>
      <c r="N49" s="13">
        <v>12</v>
      </c>
      <c r="O49" s="13" t="s">
        <v>812</v>
      </c>
      <c r="R49" s="13" t="s">
        <v>813</v>
      </c>
      <c r="S49" s="13">
        <v>40</v>
      </c>
      <c r="T49" s="13">
        <v>3</v>
      </c>
      <c r="U49" s="15" t="s">
        <v>814</v>
      </c>
    </row>
    <row r="50" customHeight="1" spans="1:21">
      <c r="A50" s="12">
        <v>49</v>
      </c>
      <c r="B50" s="13" t="s">
        <v>815</v>
      </c>
      <c r="C50" s="13" t="s">
        <v>167</v>
      </c>
      <c r="D50" s="13" t="s">
        <v>816</v>
      </c>
      <c r="E50" s="13" t="s">
        <v>817</v>
      </c>
      <c r="F50" s="12">
        <v>49</v>
      </c>
      <c r="I50" s="13" t="s">
        <v>818</v>
      </c>
      <c r="J50" s="13">
        <v>4</v>
      </c>
      <c r="K50" s="13" t="s">
        <v>819</v>
      </c>
      <c r="L50" s="13">
        <v>8</v>
      </c>
      <c r="M50" s="13" t="s">
        <v>820</v>
      </c>
      <c r="N50" s="13">
        <v>12</v>
      </c>
      <c r="O50" s="13" t="s">
        <v>821</v>
      </c>
      <c r="R50" s="13" t="s">
        <v>822</v>
      </c>
      <c r="S50" s="13">
        <v>300</v>
      </c>
      <c r="T50" s="13">
        <v>5</v>
      </c>
      <c r="U50" s="16" t="s">
        <v>823</v>
      </c>
    </row>
    <row r="51" customHeight="1" spans="1:21">
      <c r="A51" s="12">
        <v>50</v>
      </c>
      <c r="B51" s="13" t="s">
        <v>824</v>
      </c>
      <c r="C51" s="13" t="s">
        <v>167</v>
      </c>
      <c r="D51" s="13" t="s">
        <v>825</v>
      </c>
      <c r="E51" s="13" t="s">
        <v>826</v>
      </c>
      <c r="F51" s="12">
        <v>50</v>
      </c>
      <c r="I51" s="13" t="s">
        <v>827</v>
      </c>
      <c r="J51" s="13">
        <v>5</v>
      </c>
      <c r="K51" s="13" t="s">
        <v>828</v>
      </c>
      <c r="L51" s="13">
        <v>10</v>
      </c>
      <c r="M51" s="13" t="s">
        <v>829</v>
      </c>
      <c r="N51" s="13">
        <v>15</v>
      </c>
      <c r="O51" s="13" t="s">
        <v>830</v>
      </c>
      <c r="R51" s="13" t="s">
        <v>831</v>
      </c>
      <c r="S51" s="13">
        <v>400</v>
      </c>
      <c r="T51" s="13">
        <v>1</v>
      </c>
      <c r="U51" s="16" t="s">
        <v>832</v>
      </c>
    </row>
    <row r="52" customHeight="1" spans="1:21">
      <c r="A52" s="12">
        <v>51</v>
      </c>
      <c r="B52" s="13" t="s">
        <v>833</v>
      </c>
      <c r="C52" s="13" t="s">
        <v>167</v>
      </c>
      <c r="D52" s="13" t="s">
        <v>834</v>
      </c>
      <c r="E52" s="13" t="s">
        <v>835</v>
      </c>
      <c r="F52" s="12">
        <v>51</v>
      </c>
      <c r="I52" s="13" t="s">
        <v>307</v>
      </c>
      <c r="J52" s="13">
        <v>4</v>
      </c>
      <c r="K52" s="13" t="s">
        <v>836</v>
      </c>
      <c r="L52" s="13">
        <v>9</v>
      </c>
      <c r="M52" s="13" t="s">
        <v>837</v>
      </c>
      <c r="N52" s="13">
        <v>15</v>
      </c>
      <c r="O52" s="13" t="s">
        <v>838</v>
      </c>
      <c r="R52" s="13" t="s">
        <v>839</v>
      </c>
      <c r="S52" s="13">
        <v>400</v>
      </c>
      <c r="T52" s="13">
        <v>3</v>
      </c>
      <c r="U52" s="16" t="s">
        <v>840</v>
      </c>
    </row>
    <row r="53" customHeight="1" spans="1:21">
      <c r="A53" s="12">
        <v>52</v>
      </c>
      <c r="B53" s="13" t="s">
        <v>841</v>
      </c>
      <c r="C53" s="13" t="s">
        <v>171</v>
      </c>
      <c r="D53" s="13" t="s">
        <v>842</v>
      </c>
      <c r="E53" s="13" t="s">
        <v>843</v>
      </c>
      <c r="F53" s="12">
        <v>52</v>
      </c>
      <c r="I53" s="13" t="s">
        <v>844</v>
      </c>
      <c r="J53" s="13">
        <v>5</v>
      </c>
      <c r="K53" s="13" t="s">
        <v>845</v>
      </c>
      <c r="L53" s="13">
        <v>12</v>
      </c>
      <c r="M53" s="13" t="s">
        <v>846</v>
      </c>
      <c r="N53" s="13">
        <v>21</v>
      </c>
      <c r="O53" s="13" t="s">
        <v>847</v>
      </c>
      <c r="R53" s="13" t="s">
        <v>848</v>
      </c>
      <c r="S53" s="13">
        <v>500</v>
      </c>
      <c r="T53" s="13">
        <v>5</v>
      </c>
      <c r="U53" s="16" t="s">
        <v>849</v>
      </c>
    </row>
    <row r="54" customHeight="1" spans="1:21">
      <c r="A54" s="12">
        <v>53</v>
      </c>
      <c r="B54" s="13" t="s">
        <v>850</v>
      </c>
      <c r="C54" s="13" t="s">
        <v>171</v>
      </c>
      <c r="D54" s="13" t="s">
        <v>851</v>
      </c>
      <c r="E54" s="13" t="s">
        <v>852</v>
      </c>
      <c r="F54" s="12">
        <v>53</v>
      </c>
      <c r="I54" s="13" t="s">
        <v>853</v>
      </c>
      <c r="J54" s="13">
        <v>3</v>
      </c>
      <c r="K54" s="13" t="s">
        <v>854</v>
      </c>
      <c r="L54" s="13">
        <v>6</v>
      </c>
      <c r="M54" s="13" t="s">
        <v>855</v>
      </c>
      <c r="N54" s="13">
        <v>9</v>
      </c>
      <c r="O54" s="13" t="s">
        <v>856</v>
      </c>
      <c r="R54" s="13" t="s">
        <v>857</v>
      </c>
      <c r="S54" s="13">
        <v>500</v>
      </c>
      <c r="T54" s="13">
        <v>5</v>
      </c>
      <c r="U54" s="16" t="s">
        <v>858</v>
      </c>
    </row>
    <row r="55" customHeight="1" spans="1:21">
      <c r="A55" s="12">
        <v>54</v>
      </c>
      <c r="B55" s="13" t="s">
        <v>859</v>
      </c>
      <c r="C55" s="13" t="s">
        <v>171</v>
      </c>
      <c r="D55" s="13" t="s">
        <v>860</v>
      </c>
      <c r="E55" s="13" t="s">
        <v>861</v>
      </c>
      <c r="F55" s="12">
        <v>54</v>
      </c>
      <c r="I55" s="13" t="s">
        <v>862</v>
      </c>
      <c r="J55" s="13">
        <v>3</v>
      </c>
      <c r="K55" s="13" t="s">
        <v>863</v>
      </c>
      <c r="L55" s="13">
        <v>6</v>
      </c>
      <c r="M55" s="13" t="s">
        <v>864</v>
      </c>
      <c r="N55" s="13">
        <v>9</v>
      </c>
      <c r="O55" s="13" t="s">
        <v>865</v>
      </c>
      <c r="R55" s="13" t="s">
        <v>866</v>
      </c>
      <c r="S55" s="13">
        <v>1000</v>
      </c>
      <c r="T55" s="13">
        <v>5</v>
      </c>
      <c r="U55" s="16" t="s">
        <v>867</v>
      </c>
    </row>
    <row r="56" customHeight="1" spans="1:21">
      <c r="A56" s="12">
        <v>55</v>
      </c>
      <c r="B56" s="13" t="s">
        <v>868</v>
      </c>
      <c r="C56" s="13" t="s">
        <v>176</v>
      </c>
      <c r="D56" s="13" t="s">
        <v>869</v>
      </c>
      <c r="E56" s="13" t="s">
        <v>870</v>
      </c>
      <c r="F56" s="12">
        <v>55</v>
      </c>
      <c r="I56" s="13" t="s">
        <v>871</v>
      </c>
      <c r="J56" s="13">
        <v>7</v>
      </c>
      <c r="K56" s="13" t="s">
        <v>872</v>
      </c>
      <c r="L56" s="13">
        <v>16</v>
      </c>
      <c r="M56" s="13" t="s">
        <v>873</v>
      </c>
      <c r="R56" s="13" t="s">
        <v>874</v>
      </c>
      <c r="S56" s="13">
        <v>2000</v>
      </c>
      <c r="T56" s="13">
        <v>5</v>
      </c>
      <c r="U56" s="16" t="s">
        <v>875</v>
      </c>
    </row>
    <row r="57" customHeight="1" spans="1:21">
      <c r="A57" s="12">
        <v>56</v>
      </c>
      <c r="B57" s="13" t="s">
        <v>876</v>
      </c>
      <c r="C57" s="13" t="s">
        <v>176</v>
      </c>
      <c r="D57" s="13" t="s">
        <v>877</v>
      </c>
      <c r="E57" s="13" t="s">
        <v>878</v>
      </c>
      <c r="F57" s="12">
        <v>56</v>
      </c>
      <c r="I57" s="13" t="s">
        <v>879</v>
      </c>
      <c r="J57" s="13">
        <v>3</v>
      </c>
      <c r="K57" s="13" t="s">
        <v>880</v>
      </c>
      <c r="L57" s="13">
        <v>7</v>
      </c>
      <c r="M57" s="13" t="s">
        <v>376</v>
      </c>
      <c r="N57" s="13">
        <v>12</v>
      </c>
      <c r="O57" s="13" t="s">
        <v>881</v>
      </c>
      <c r="R57" s="13" t="s">
        <v>882</v>
      </c>
      <c r="S57" s="13">
        <v>5000</v>
      </c>
      <c r="T57" s="13">
        <v>5</v>
      </c>
      <c r="U57" s="16" t="s">
        <v>883</v>
      </c>
    </row>
    <row r="58" customHeight="1" spans="1:21">
      <c r="A58" s="12">
        <v>57</v>
      </c>
      <c r="B58" s="13" t="s">
        <v>884</v>
      </c>
      <c r="C58" s="13" t="s">
        <v>176</v>
      </c>
      <c r="D58" s="13" t="s">
        <v>885</v>
      </c>
      <c r="E58" s="13" t="s">
        <v>886</v>
      </c>
      <c r="F58" s="12">
        <v>57</v>
      </c>
      <c r="I58" s="13" t="s">
        <v>887</v>
      </c>
      <c r="J58" s="13">
        <v>4</v>
      </c>
      <c r="K58" s="13" t="s">
        <v>888</v>
      </c>
      <c r="L58" s="13">
        <v>8</v>
      </c>
      <c r="M58" s="13" t="s">
        <v>889</v>
      </c>
      <c r="N58" s="13">
        <v>12</v>
      </c>
      <c r="O58" s="13" t="s">
        <v>890</v>
      </c>
      <c r="R58" s="13" t="s">
        <v>891</v>
      </c>
      <c r="S58" s="13">
        <v>2000</v>
      </c>
      <c r="T58" s="13">
        <v>1</v>
      </c>
      <c r="U58" s="16" t="s">
        <v>892</v>
      </c>
    </row>
    <row r="59" customHeight="1" spans="1:21">
      <c r="A59" s="12">
        <v>58</v>
      </c>
      <c r="B59" s="13" t="s">
        <v>893</v>
      </c>
      <c r="C59" s="13" t="s">
        <v>178</v>
      </c>
      <c r="D59" s="13" t="s">
        <v>894</v>
      </c>
      <c r="E59" s="13" t="s">
        <v>895</v>
      </c>
      <c r="F59" s="12">
        <v>58</v>
      </c>
      <c r="I59" s="13" t="s">
        <v>896</v>
      </c>
      <c r="J59" s="13">
        <v>4</v>
      </c>
      <c r="K59" s="13" t="s">
        <v>897</v>
      </c>
      <c r="L59" s="13">
        <v>10</v>
      </c>
      <c r="M59" s="13" t="s">
        <v>898</v>
      </c>
      <c r="N59" s="13">
        <v>18</v>
      </c>
      <c r="O59" s="13" t="s">
        <v>899</v>
      </c>
      <c r="R59" s="13" t="s">
        <v>900</v>
      </c>
      <c r="S59" s="13">
        <v>160</v>
      </c>
      <c r="T59" s="13">
        <v>1</v>
      </c>
      <c r="U59" s="16" t="s">
        <v>901</v>
      </c>
    </row>
    <row r="60" customHeight="1" spans="1:21">
      <c r="A60" s="12">
        <v>59</v>
      </c>
      <c r="B60" s="13" t="s">
        <v>902</v>
      </c>
      <c r="C60" s="13" t="s">
        <v>178</v>
      </c>
      <c r="D60" s="13" t="s">
        <v>903</v>
      </c>
      <c r="E60" s="13" t="s">
        <v>904</v>
      </c>
      <c r="F60" s="12">
        <v>59</v>
      </c>
      <c r="I60" s="13" t="s">
        <v>905</v>
      </c>
      <c r="J60" s="13">
        <v>6</v>
      </c>
      <c r="K60" s="13" t="s">
        <v>906</v>
      </c>
      <c r="L60" s="13">
        <v>12</v>
      </c>
      <c r="M60" s="13" t="s">
        <v>907</v>
      </c>
      <c r="N60" s="13">
        <v>18</v>
      </c>
      <c r="O60" s="13" t="s">
        <v>908</v>
      </c>
      <c r="R60" s="13" t="s">
        <v>909</v>
      </c>
      <c r="S60" s="13">
        <v>210</v>
      </c>
      <c r="T60" s="13">
        <v>1</v>
      </c>
      <c r="U60" s="16" t="s">
        <v>910</v>
      </c>
    </row>
    <row r="61" customHeight="1" spans="1:21">
      <c r="A61" s="12">
        <v>60</v>
      </c>
      <c r="B61" s="13" t="s">
        <v>911</v>
      </c>
      <c r="C61" s="13" t="s">
        <v>178</v>
      </c>
      <c r="D61" s="13" t="s">
        <v>912</v>
      </c>
      <c r="E61" s="13" t="s">
        <v>913</v>
      </c>
      <c r="F61" s="12">
        <v>60</v>
      </c>
      <c r="I61" s="13" t="s">
        <v>195</v>
      </c>
      <c r="R61" s="13" t="s">
        <v>914</v>
      </c>
      <c r="S61" s="13">
        <v>300</v>
      </c>
      <c r="T61" s="13">
        <v>1</v>
      </c>
      <c r="U61" s="16" t="s">
        <v>915</v>
      </c>
    </row>
    <row r="62" customHeight="1" spans="1:21">
      <c r="A62" s="12">
        <v>61</v>
      </c>
      <c r="B62" s="13" t="s">
        <v>916</v>
      </c>
      <c r="C62" s="13" t="s">
        <v>182</v>
      </c>
      <c r="D62" s="13" t="s">
        <v>917</v>
      </c>
      <c r="E62" s="13" t="s">
        <v>918</v>
      </c>
      <c r="F62" s="12">
        <v>61</v>
      </c>
      <c r="H62" s="14" t="s">
        <v>919</v>
      </c>
      <c r="I62" s="13" t="s">
        <v>920</v>
      </c>
      <c r="J62" s="13">
        <v>3</v>
      </c>
      <c r="K62" s="13" t="s">
        <v>921</v>
      </c>
      <c r="L62" s="13">
        <v>7</v>
      </c>
      <c r="M62" s="13" t="s">
        <v>922</v>
      </c>
      <c r="N62" s="13">
        <v>14</v>
      </c>
      <c r="O62" s="13" t="s">
        <v>923</v>
      </c>
      <c r="R62" s="13" t="s">
        <v>924</v>
      </c>
      <c r="S62" s="13">
        <v>180</v>
      </c>
      <c r="T62" s="13">
        <v>1</v>
      </c>
      <c r="U62" s="16" t="s">
        <v>925</v>
      </c>
    </row>
    <row r="63" customHeight="1" spans="1:21">
      <c r="A63" s="12">
        <v>62</v>
      </c>
      <c r="B63" s="13" t="s">
        <v>926</v>
      </c>
      <c r="C63" s="13" t="s">
        <v>182</v>
      </c>
      <c r="D63" s="13" t="s">
        <v>927</v>
      </c>
      <c r="E63" s="13" t="s">
        <v>928</v>
      </c>
      <c r="F63" s="12">
        <v>62</v>
      </c>
      <c r="I63" s="13" t="s">
        <v>929</v>
      </c>
      <c r="J63" s="13">
        <v>5</v>
      </c>
      <c r="K63" s="13" t="s">
        <v>930</v>
      </c>
      <c r="L63" s="13">
        <v>10</v>
      </c>
      <c r="M63" s="13" t="s">
        <v>931</v>
      </c>
      <c r="N63" s="13">
        <v>15</v>
      </c>
      <c r="O63" s="13" t="s">
        <v>932</v>
      </c>
      <c r="R63" s="13" t="s">
        <v>933</v>
      </c>
      <c r="S63" s="13">
        <v>280</v>
      </c>
      <c r="T63" s="13">
        <v>1</v>
      </c>
      <c r="U63" s="16" t="s">
        <v>934</v>
      </c>
    </row>
    <row r="64" customHeight="1" spans="1:21">
      <c r="A64" s="12">
        <v>63</v>
      </c>
      <c r="B64" s="13" t="s">
        <v>935</v>
      </c>
      <c r="C64" s="13" t="s">
        <v>182</v>
      </c>
      <c r="D64" s="13" t="s">
        <v>936</v>
      </c>
      <c r="E64" s="13" t="s">
        <v>937</v>
      </c>
      <c r="F64" s="12">
        <v>63</v>
      </c>
      <c r="I64" s="13" t="s">
        <v>938</v>
      </c>
      <c r="J64" s="13">
        <v>7</v>
      </c>
      <c r="K64" s="13" t="s">
        <v>939</v>
      </c>
      <c r="L64" s="13">
        <v>14</v>
      </c>
      <c r="M64" s="13" t="s">
        <v>940</v>
      </c>
      <c r="N64" s="13">
        <v>21</v>
      </c>
      <c r="O64" s="13" t="s">
        <v>941</v>
      </c>
      <c r="R64" s="13" t="s">
        <v>942</v>
      </c>
      <c r="S64" s="13">
        <v>330</v>
      </c>
      <c r="T64" s="13">
        <v>1</v>
      </c>
      <c r="U64" s="16" t="s">
        <v>943</v>
      </c>
    </row>
    <row r="65" customHeight="1" spans="1:21">
      <c r="A65" s="12">
        <v>64</v>
      </c>
      <c r="B65" s="13" t="s">
        <v>944</v>
      </c>
      <c r="C65" s="13" t="s">
        <v>184</v>
      </c>
      <c r="D65" s="13" t="s">
        <v>945</v>
      </c>
      <c r="E65" s="13" t="s">
        <v>946</v>
      </c>
      <c r="F65" s="12">
        <v>64</v>
      </c>
      <c r="I65" s="13" t="s">
        <v>947</v>
      </c>
      <c r="J65" s="13">
        <v>6</v>
      </c>
      <c r="K65" s="13" t="s">
        <v>948</v>
      </c>
      <c r="L65" s="13">
        <v>14</v>
      </c>
      <c r="M65" s="13" t="s">
        <v>949</v>
      </c>
      <c r="N65" s="13">
        <v>24</v>
      </c>
      <c r="O65" s="13" t="s">
        <v>950</v>
      </c>
      <c r="R65" s="13" t="s">
        <v>951</v>
      </c>
      <c r="S65" s="13">
        <v>410</v>
      </c>
      <c r="T65" s="13">
        <v>1</v>
      </c>
      <c r="U65" s="16" t="s">
        <v>952</v>
      </c>
    </row>
    <row r="66" customHeight="1" spans="1:21">
      <c r="A66" s="12">
        <v>65</v>
      </c>
      <c r="B66" s="13" t="s">
        <v>953</v>
      </c>
      <c r="C66" s="13" t="s">
        <v>184</v>
      </c>
      <c r="D66" s="13" t="s">
        <v>954</v>
      </c>
      <c r="E66" s="13" t="s">
        <v>955</v>
      </c>
      <c r="F66" s="12">
        <v>65</v>
      </c>
      <c r="I66" s="13" t="s">
        <v>956</v>
      </c>
      <c r="J66" s="13">
        <v>6</v>
      </c>
      <c r="K66" s="13" t="s">
        <v>957</v>
      </c>
      <c r="L66" s="13">
        <v>13</v>
      </c>
      <c r="M66" s="13" t="s">
        <v>958</v>
      </c>
      <c r="N66" s="13">
        <v>21</v>
      </c>
      <c r="O66" s="13" t="s">
        <v>959</v>
      </c>
      <c r="R66" s="13" t="s">
        <v>960</v>
      </c>
      <c r="S66" s="13">
        <v>240</v>
      </c>
      <c r="T66" s="13">
        <v>1</v>
      </c>
      <c r="U66" s="16" t="s">
        <v>961</v>
      </c>
    </row>
    <row r="67" customHeight="1" spans="1:21">
      <c r="A67" s="12">
        <v>66</v>
      </c>
      <c r="B67" s="13" t="s">
        <v>962</v>
      </c>
      <c r="C67" s="13" t="s">
        <v>184</v>
      </c>
      <c r="D67" s="13" t="s">
        <v>963</v>
      </c>
      <c r="E67" s="13" t="s">
        <v>964</v>
      </c>
      <c r="F67" s="12">
        <v>66</v>
      </c>
      <c r="I67" s="13" t="s">
        <v>195</v>
      </c>
      <c r="R67" s="13" t="s">
        <v>965</v>
      </c>
      <c r="S67" s="13">
        <v>270</v>
      </c>
      <c r="T67" s="13">
        <v>1</v>
      </c>
      <c r="U67" s="16" t="s">
        <v>966</v>
      </c>
    </row>
    <row r="68" customHeight="1" spans="1:21">
      <c r="A68" s="12">
        <v>67</v>
      </c>
      <c r="B68" s="13" t="s">
        <v>967</v>
      </c>
      <c r="C68" s="13" t="s">
        <v>189</v>
      </c>
      <c r="D68" s="13" t="s">
        <v>774</v>
      </c>
      <c r="E68" s="13" t="s">
        <v>968</v>
      </c>
      <c r="F68" s="12">
        <v>67</v>
      </c>
      <c r="H68" s="14" t="s">
        <v>969</v>
      </c>
      <c r="I68" s="13" t="s">
        <v>970</v>
      </c>
      <c r="J68" s="13">
        <v>4</v>
      </c>
      <c r="K68" s="13" t="s">
        <v>971</v>
      </c>
      <c r="L68" s="13">
        <v>8</v>
      </c>
      <c r="M68" s="13" t="s">
        <v>972</v>
      </c>
      <c r="N68" s="13">
        <v>12</v>
      </c>
      <c r="O68" s="13" t="s">
        <v>973</v>
      </c>
      <c r="R68" s="13" t="s">
        <v>974</v>
      </c>
      <c r="S68" s="13">
        <v>210</v>
      </c>
      <c r="T68" s="13">
        <v>1</v>
      </c>
      <c r="U68" s="16" t="s">
        <v>975</v>
      </c>
    </row>
    <row r="69" customHeight="1" spans="1:21">
      <c r="A69" s="12">
        <v>68</v>
      </c>
      <c r="B69" s="13" t="s">
        <v>976</v>
      </c>
      <c r="C69" s="13" t="s">
        <v>189</v>
      </c>
      <c r="D69" s="13" t="s">
        <v>977</v>
      </c>
      <c r="E69" s="13" t="s">
        <v>978</v>
      </c>
      <c r="F69" s="12">
        <v>68</v>
      </c>
      <c r="I69" s="13" t="s">
        <v>979</v>
      </c>
      <c r="J69" s="13">
        <v>4</v>
      </c>
      <c r="K69" s="13" t="s">
        <v>980</v>
      </c>
      <c r="L69" s="13">
        <v>8</v>
      </c>
      <c r="M69" s="13" t="s">
        <v>981</v>
      </c>
      <c r="N69" s="13">
        <v>12</v>
      </c>
      <c r="O69" s="13" t="s">
        <v>982</v>
      </c>
      <c r="R69" s="13" t="s">
        <v>983</v>
      </c>
      <c r="S69" s="13">
        <v>360</v>
      </c>
      <c r="T69" s="13">
        <v>1</v>
      </c>
      <c r="U69" s="16" t="s">
        <v>984</v>
      </c>
    </row>
    <row r="70" customHeight="1" spans="1:21">
      <c r="A70" s="12">
        <v>69</v>
      </c>
      <c r="B70" s="13" t="s">
        <v>985</v>
      </c>
      <c r="C70" s="13" t="s">
        <v>189</v>
      </c>
      <c r="D70" s="13" t="s">
        <v>986</v>
      </c>
      <c r="E70" s="13" t="s">
        <v>987</v>
      </c>
      <c r="F70" s="12">
        <v>69</v>
      </c>
      <c r="I70" s="13" t="s">
        <v>988</v>
      </c>
      <c r="J70" s="13">
        <v>6</v>
      </c>
      <c r="K70" s="13" t="s">
        <v>989</v>
      </c>
      <c r="L70" s="13">
        <v>12</v>
      </c>
      <c r="M70" s="13" t="s">
        <v>990</v>
      </c>
      <c r="N70" s="13">
        <v>18</v>
      </c>
      <c r="O70" s="13" t="s">
        <v>991</v>
      </c>
      <c r="R70" s="13" t="s">
        <v>992</v>
      </c>
      <c r="S70" s="13">
        <v>230</v>
      </c>
      <c r="T70" s="13">
        <v>1</v>
      </c>
      <c r="U70" s="16" t="s">
        <v>993</v>
      </c>
    </row>
    <row r="71" customHeight="1" spans="1:21">
      <c r="A71" s="12">
        <v>70</v>
      </c>
      <c r="B71" s="13" t="s">
        <v>994</v>
      </c>
      <c r="C71" s="13" t="s">
        <v>191</v>
      </c>
      <c r="D71" s="13" t="s">
        <v>995</v>
      </c>
      <c r="E71" s="13" t="s">
        <v>996</v>
      </c>
      <c r="F71" s="12">
        <v>70</v>
      </c>
      <c r="I71" s="13" t="s">
        <v>997</v>
      </c>
      <c r="J71" s="13">
        <v>3</v>
      </c>
      <c r="K71" s="13" t="s">
        <v>998</v>
      </c>
      <c r="L71" s="13">
        <v>6</v>
      </c>
      <c r="M71" s="13" t="s">
        <v>999</v>
      </c>
      <c r="N71" s="13">
        <v>9</v>
      </c>
      <c r="O71" s="13" t="s">
        <v>1000</v>
      </c>
      <c r="R71" s="13" t="s">
        <v>1001</v>
      </c>
      <c r="S71" s="13">
        <v>220</v>
      </c>
      <c r="T71" s="13">
        <v>1</v>
      </c>
      <c r="U71" s="16" t="s">
        <v>1002</v>
      </c>
    </row>
    <row r="72" customHeight="1" spans="1:21">
      <c r="A72" s="12">
        <v>71</v>
      </c>
      <c r="B72" s="13" t="s">
        <v>1003</v>
      </c>
      <c r="C72" s="13" t="s">
        <v>191</v>
      </c>
      <c r="D72" s="13" t="s">
        <v>1004</v>
      </c>
      <c r="E72" s="13" t="s">
        <v>1005</v>
      </c>
      <c r="F72" s="12">
        <v>71</v>
      </c>
      <c r="I72" s="13" t="s">
        <v>1006</v>
      </c>
      <c r="J72" s="13">
        <v>5</v>
      </c>
      <c r="K72" s="13" t="s">
        <v>1007</v>
      </c>
      <c r="L72" s="13">
        <v>11</v>
      </c>
      <c r="M72" s="13" t="s">
        <v>1008</v>
      </c>
      <c r="N72" s="13">
        <v>18</v>
      </c>
      <c r="O72" s="13" t="s">
        <v>1009</v>
      </c>
      <c r="R72" s="13" t="s">
        <v>1010</v>
      </c>
      <c r="S72" s="13">
        <v>660</v>
      </c>
      <c r="T72" s="13">
        <v>1</v>
      </c>
      <c r="U72" s="16" t="s">
        <v>1011</v>
      </c>
    </row>
    <row r="73" customHeight="1" spans="1:21">
      <c r="A73" s="12">
        <v>72</v>
      </c>
      <c r="B73" s="13" t="s">
        <v>1012</v>
      </c>
      <c r="C73" s="13" t="s">
        <v>191</v>
      </c>
      <c r="D73" s="13" t="s">
        <v>468</v>
      </c>
      <c r="E73" s="13" t="s">
        <v>1013</v>
      </c>
      <c r="F73" s="12">
        <v>72</v>
      </c>
      <c r="I73" s="13" t="s">
        <v>1014</v>
      </c>
      <c r="J73" s="13">
        <v>7</v>
      </c>
      <c r="K73" s="13" t="s">
        <v>1015</v>
      </c>
      <c r="R73" s="13" t="s">
        <v>1016</v>
      </c>
      <c r="S73" s="13">
        <v>100</v>
      </c>
      <c r="T73" s="13">
        <v>1</v>
      </c>
      <c r="U73" s="16"/>
    </row>
    <row r="74" customHeight="1" spans="1:18">
      <c r="A74" s="12">
        <v>73</v>
      </c>
      <c r="B74" s="13" t="s">
        <v>1017</v>
      </c>
      <c r="C74" s="13" t="s">
        <v>192</v>
      </c>
      <c r="D74" s="13" t="s">
        <v>663</v>
      </c>
      <c r="E74" s="13" t="s">
        <v>1018</v>
      </c>
      <c r="F74" s="12">
        <v>73</v>
      </c>
      <c r="I74" s="13" t="s">
        <v>1019</v>
      </c>
      <c r="J74" s="13">
        <v>4</v>
      </c>
      <c r="K74" s="13" t="s">
        <v>1020</v>
      </c>
      <c r="L74" s="13">
        <v>9</v>
      </c>
      <c r="M74" s="13" t="s">
        <v>1021</v>
      </c>
      <c r="N74" s="13">
        <v>15</v>
      </c>
      <c r="O74" s="13" t="s">
        <v>1022</v>
      </c>
      <c r="R74" s="273" t="s">
        <v>195</v>
      </c>
    </row>
    <row r="75" customHeight="1" spans="1:21">
      <c r="A75" s="12">
        <v>74</v>
      </c>
      <c r="B75" s="13" t="s">
        <v>1023</v>
      </c>
      <c r="C75" s="13" t="s">
        <v>192</v>
      </c>
      <c r="D75" s="13" t="s">
        <v>1024</v>
      </c>
      <c r="E75" s="13" t="s">
        <v>1025</v>
      </c>
      <c r="F75" s="12">
        <v>74</v>
      </c>
      <c r="I75" s="13" t="s">
        <v>1026</v>
      </c>
      <c r="J75" s="13">
        <v>10</v>
      </c>
      <c r="K75" s="13" t="s">
        <v>1027</v>
      </c>
      <c r="Q75" s="14" t="s">
        <v>1028</v>
      </c>
      <c r="R75" s="13" t="s">
        <v>127</v>
      </c>
      <c r="S75" s="13">
        <v>0</v>
      </c>
      <c r="U75" s="16" t="s">
        <v>1029</v>
      </c>
    </row>
    <row r="76" customHeight="1" spans="1:21">
      <c r="A76" s="12">
        <v>75</v>
      </c>
      <c r="B76" s="13" t="s">
        <v>1030</v>
      </c>
      <c r="C76" s="13" t="s">
        <v>192</v>
      </c>
      <c r="D76" s="13" t="s">
        <v>1031</v>
      </c>
      <c r="E76" s="13" t="s">
        <v>1032</v>
      </c>
      <c r="F76" s="12">
        <v>75</v>
      </c>
      <c r="I76" s="13" t="s">
        <v>1033</v>
      </c>
      <c r="J76" s="13">
        <v>5</v>
      </c>
      <c r="K76" s="13" t="s">
        <v>1034</v>
      </c>
      <c r="L76" s="13">
        <v>10</v>
      </c>
      <c r="M76" s="13" t="s">
        <v>1035</v>
      </c>
      <c r="N76" s="13">
        <v>15</v>
      </c>
      <c r="O76" s="13" t="s">
        <v>1036</v>
      </c>
      <c r="R76" s="13" t="s">
        <v>1037</v>
      </c>
      <c r="S76" s="13">
        <v>100</v>
      </c>
      <c r="T76" s="13">
        <v>1</v>
      </c>
      <c r="U76" s="16" t="s">
        <v>1038</v>
      </c>
    </row>
    <row r="77" customHeight="1" spans="1:21">
      <c r="A77" s="12">
        <v>76</v>
      </c>
      <c r="B77" s="13" t="s">
        <v>1039</v>
      </c>
      <c r="C77" s="13" t="s">
        <v>203</v>
      </c>
      <c r="D77" s="13" t="s">
        <v>1040</v>
      </c>
      <c r="E77" s="13" t="s">
        <v>1041</v>
      </c>
      <c r="F77" s="12">
        <v>76</v>
      </c>
      <c r="I77" s="13" t="s">
        <v>1042</v>
      </c>
      <c r="J77" s="13">
        <v>6</v>
      </c>
      <c r="K77" s="13" t="s">
        <v>1043</v>
      </c>
      <c r="L77" s="13">
        <v>14</v>
      </c>
      <c r="M77" s="13" t="s">
        <v>1044</v>
      </c>
      <c r="N77" s="13">
        <v>24</v>
      </c>
      <c r="O77" s="13" t="s">
        <v>1045</v>
      </c>
      <c r="R77" s="13" t="s">
        <v>1046</v>
      </c>
      <c r="S77" s="13">
        <v>400</v>
      </c>
      <c r="T77" s="13">
        <v>1</v>
      </c>
      <c r="U77" s="16" t="s">
        <v>1047</v>
      </c>
    </row>
    <row r="78" customHeight="1" spans="1:21">
      <c r="A78" s="12">
        <v>77</v>
      </c>
      <c r="B78" s="13" t="s">
        <v>1048</v>
      </c>
      <c r="C78" s="13" t="s">
        <v>203</v>
      </c>
      <c r="D78" s="13" t="s">
        <v>1049</v>
      </c>
      <c r="E78" s="13" t="s">
        <v>1050</v>
      </c>
      <c r="F78" s="12">
        <v>77</v>
      </c>
      <c r="I78" s="13" t="s">
        <v>1051</v>
      </c>
      <c r="J78" s="13">
        <v>9</v>
      </c>
      <c r="K78" s="13" t="s">
        <v>1052</v>
      </c>
      <c r="R78" s="13" t="s">
        <v>1053</v>
      </c>
      <c r="S78" s="13">
        <v>400</v>
      </c>
      <c r="T78" s="13">
        <v>2</v>
      </c>
      <c r="U78" s="16" t="s">
        <v>1054</v>
      </c>
    </row>
    <row r="79" customHeight="1" spans="1:21">
      <c r="A79" s="12">
        <v>78</v>
      </c>
      <c r="B79" s="13" t="s">
        <v>1055</v>
      </c>
      <c r="C79" s="13" t="s">
        <v>203</v>
      </c>
      <c r="D79" s="13" t="s">
        <v>1056</v>
      </c>
      <c r="E79" s="13" t="s">
        <v>1057</v>
      </c>
      <c r="F79" s="12">
        <v>78</v>
      </c>
      <c r="I79" s="13" t="s">
        <v>1058</v>
      </c>
      <c r="J79" s="13">
        <v>8</v>
      </c>
      <c r="K79" s="13" t="s">
        <v>1059</v>
      </c>
      <c r="R79" s="13" t="s">
        <v>1060</v>
      </c>
      <c r="S79" s="13">
        <v>300</v>
      </c>
      <c r="T79" s="13">
        <v>1</v>
      </c>
      <c r="U79" s="15" t="s">
        <v>1061</v>
      </c>
    </row>
    <row r="80" customHeight="1" spans="1:21">
      <c r="A80" s="12">
        <v>79</v>
      </c>
      <c r="B80" s="13" t="s">
        <v>1062</v>
      </c>
      <c r="C80" s="13" t="s">
        <v>211</v>
      </c>
      <c r="D80" s="13" t="s">
        <v>1063</v>
      </c>
      <c r="E80" s="13" t="s">
        <v>1064</v>
      </c>
      <c r="F80" s="12">
        <v>79</v>
      </c>
      <c r="I80" s="13" t="s">
        <v>1065</v>
      </c>
      <c r="J80" s="13">
        <v>5</v>
      </c>
      <c r="K80" s="13" t="s">
        <v>1066</v>
      </c>
      <c r="L80" s="13">
        <v>11</v>
      </c>
      <c r="M80" s="13" t="s">
        <v>1067</v>
      </c>
      <c r="N80" s="13">
        <v>18</v>
      </c>
      <c r="O80" s="13" t="s">
        <v>1068</v>
      </c>
      <c r="R80" s="13" t="s">
        <v>1069</v>
      </c>
      <c r="S80" s="13">
        <v>700</v>
      </c>
      <c r="T80" s="13">
        <v>1</v>
      </c>
      <c r="U80" s="16" t="s">
        <v>1070</v>
      </c>
    </row>
    <row r="81" customHeight="1" spans="1:21">
      <c r="A81" s="12">
        <v>80</v>
      </c>
      <c r="B81" s="13" t="s">
        <v>1071</v>
      </c>
      <c r="C81" s="13" t="s">
        <v>211</v>
      </c>
      <c r="D81" s="13" t="s">
        <v>1072</v>
      </c>
      <c r="E81" s="13" t="s">
        <v>1073</v>
      </c>
      <c r="F81" s="12">
        <v>80</v>
      </c>
      <c r="I81" s="13" t="s">
        <v>1074</v>
      </c>
      <c r="J81" s="13">
        <v>3</v>
      </c>
      <c r="K81" s="13" t="s">
        <v>1075</v>
      </c>
      <c r="L81" s="13">
        <v>7</v>
      </c>
      <c r="M81" s="13" t="s">
        <v>1076</v>
      </c>
      <c r="N81" s="13">
        <v>12</v>
      </c>
      <c r="O81" s="13" t="s">
        <v>1077</v>
      </c>
      <c r="R81" s="13" t="s">
        <v>1078</v>
      </c>
      <c r="S81" s="13">
        <v>1200</v>
      </c>
      <c r="T81" s="13">
        <v>24</v>
      </c>
      <c r="U81" s="16" t="s">
        <v>1079</v>
      </c>
    </row>
    <row r="82" customHeight="1" spans="1:21">
      <c r="A82" s="12">
        <v>81</v>
      </c>
      <c r="B82" s="13" t="s">
        <v>1080</v>
      </c>
      <c r="C82" s="13" t="s">
        <v>211</v>
      </c>
      <c r="D82" s="13" t="s">
        <v>1081</v>
      </c>
      <c r="E82" s="13" t="s">
        <v>1082</v>
      </c>
      <c r="F82" s="12">
        <v>81</v>
      </c>
      <c r="I82" s="13" t="s">
        <v>1083</v>
      </c>
      <c r="J82" s="13">
        <v>6</v>
      </c>
      <c r="K82" s="13" t="s">
        <v>1084</v>
      </c>
      <c r="L82" s="13">
        <v>12</v>
      </c>
      <c r="M82" s="13" t="s">
        <v>1085</v>
      </c>
      <c r="N82" s="13">
        <v>18</v>
      </c>
      <c r="O82" s="13" t="s">
        <v>1086</v>
      </c>
      <c r="R82" s="13" t="s">
        <v>1087</v>
      </c>
      <c r="S82" s="13">
        <v>300</v>
      </c>
      <c r="T82" s="13">
        <v>3</v>
      </c>
      <c r="U82" s="16" t="s">
        <v>1088</v>
      </c>
    </row>
    <row r="83" customHeight="1" spans="1:21">
      <c r="A83" s="12">
        <v>82</v>
      </c>
      <c r="B83" s="13" t="s">
        <v>1089</v>
      </c>
      <c r="C83" s="13" t="s">
        <v>221</v>
      </c>
      <c r="D83" s="13" t="s">
        <v>1090</v>
      </c>
      <c r="E83" s="13" t="s">
        <v>1091</v>
      </c>
      <c r="F83" s="12">
        <v>82</v>
      </c>
      <c r="I83" s="13" t="s">
        <v>1092</v>
      </c>
      <c r="J83" s="13">
        <v>10</v>
      </c>
      <c r="K83" s="13" t="s">
        <v>1093</v>
      </c>
      <c r="R83" s="13" t="s">
        <v>1094</v>
      </c>
      <c r="S83" s="13">
        <v>700</v>
      </c>
      <c r="T83" s="13">
        <v>8</v>
      </c>
      <c r="U83" s="16" t="s">
        <v>1095</v>
      </c>
    </row>
    <row r="84" customHeight="1" spans="1:21">
      <c r="A84" s="12">
        <v>83</v>
      </c>
      <c r="B84" s="13" t="s">
        <v>1096</v>
      </c>
      <c r="C84" s="13" t="s">
        <v>221</v>
      </c>
      <c r="D84" s="13" t="s">
        <v>1097</v>
      </c>
      <c r="E84" s="13" t="s">
        <v>1098</v>
      </c>
      <c r="F84" s="12">
        <v>83</v>
      </c>
      <c r="I84" s="13" t="s">
        <v>1099</v>
      </c>
      <c r="J84" s="13">
        <v>5</v>
      </c>
      <c r="K84" s="13" t="s">
        <v>1100</v>
      </c>
      <c r="L84" s="13">
        <v>11</v>
      </c>
      <c r="M84" s="13" t="s">
        <v>1101</v>
      </c>
      <c r="N84" s="13">
        <v>18</v>
      </c>
      <c r="O84" s="13" t="s">
        <v>1102</v>
      </c>
      <c r="R84" s="13" t="s">
        <v>1103</v>
      </c>
      <c r="S84" s="13">
        <v>1120</v>
      </c>
      <c r="T84" s="13">
        <v>5</v>
      </c>
      <c r="U84" s="16" t="s">
        <v>1104</v>
      </c>
    </row>
    <row r="85" customHeight="1" spans="1:21">
      <c r="A85" s="12">
        <v>84</v>
      </c>
      <c r="B85" s="13" t="s">
        <v>1105</v>
      </c>
      <c r="C85" s="13" t="s">
        <v>221</v>
      </c>
      <c r="D85" s="13" t="s">
        <v>1106</v>
      </c>
      <c r="E85" s="13" t="s">
        <v>1107</v>
      </c>
      <c r="F85" s="12">
        <v>84</v>
      </c>
      <c r="I85" s="13" t="s">
        <v>1108</v>
      </c>
      <c r="J85" s="13">
        <v>5</v>
      </c>
      <c r="K85" s="13" t="s">
        <v>1109</v>
      </c>
      <c r="L85" s="13">
        <v>12</v>
      </c>
      <c r="M85" s="13" t="s">
        <v>1110</v>
      </c>
      <c r="N85" s="13">
        <v>21</v>
      </c>
      <c r="O85" s="13" t="s">
        <v>1111</v>
      </c>
      <c r="R85" s="13" t="s">
        <v>1112</v>
      </c>
      <c r="S85" s="13">
        <v>1400</v>
      </c>
      <c r="T85" s="13">
        <v>14</v>
      </c>
      <c r="U85" s="15" t="s">
        <v>1113</v>
      </c>
    </row>
    <row r="86" customHeight="1" spans="9:21">
      <c r="I86" s="13" t="s">
        <v>1114</v>
      </c>
      <c r="J86" s="13">
        <v>9</v>
      </c>
      <c r="K86" s="13" t="s">
        <v>1115</v>
      </c>
      <c r="R86" s="13" t="s">
        <v>1116</v>
      </c>
      <c r="S86" s="13">
        <v>500</v>
      </c>
      <c r="T86" s="13">
        <v>2</v>
      </c>
      <c r="U86" s="16" t="s">
        <v>1117</v>
      </c>
    </row>
    <row r="87" customHeight="1" spans="9:21">
      <c r="I87" s="13" t="s">
        <v>1118</v>
      </c>
      <c r="J87" s="13">
        <v>11</v>
      </c>
      <c r="K87" s="13" t="s">
        <v>1119</v>
      </c>
      <c r="R87" s="13" t="s">
        <v>1120</v>
      </c>
      <c r="S87" s="13">
        <v>650</v>
      </c>
      <c r="T87" s="13">
        <v>2</v>
      </c>
      <c r="U87" s="16" t="s">
        <v>1121</v>
      </c>
    </row>
    <row r="88" customHeight="1" spans="9:21">
      <c r="I88" s="13" t="s">
        <v>1122</v>
      </c>
      <c r="J88" s="13">
        <v>14</v>
      </c>
      <c r="K88" s="13" t="s">
        <v>1123</v>
      </c>
      <c r="R88" s="13" t="s">
        <v>1124</v>
      </c>
      <c r="S88" s="13">
        <v>1000</v>
      </c>
      <c r="T88" s="13">
        <v>1</v>
      </c>
      <c r="U88" s="16" t="s">
        <v>1125</v>
      </c>
    </row>
    <row r="89" customHeight="1" spans="9:21">
      <c r="I89" s="13" t="s">
        <v>1126</v>
      </c>
      <c r="J89" s="13">
        <v>4</v>
      </c>
      <c r="K89" s="13" t="s">
        <v>1127</v>
      </c>
      <c r="L89" s="13">
        <v>10</v>
      </c>
      <c r="M89" s="13" t="s">
        <v>1128</v>
      </c>
      <c r="N89" s="13">
        <v>18</v>
      </c>
      <c r="O89" s="13" t="s">
        <v>1129</v>
      </c>
      <c r="R89" s="13" t="s">
        <v>1130</v>
      </c>
      <c r="S89" s="13">
        <v>1100</v>
      </c>
      <c r="T89" s="13">
        <v>2</v>
      </c>
      <c r="U89" s="16" t="s">
        <v>1131</v>
      </c>
    </row>
    <row r="90" customHeight="1" spans="9:21">
      <c r="I90" s="13" t="s">
        <v>1132</v>
      </c>
      <c r="J90" s="13">
        <v>6</v>
      </c>
      <c r="K90" s="13" t="s">
        <v>1133</v>
      </c>
      <c r="L90" s="13">
        <v>12</v>
      </c>
      <c r="M90" s="13" t="s">
        <v>1134</v>
      </c>
      <c r="N90" s="13">
        <v>18</v>
      </c>
      <c r="O90" s="13" t="s">
        <v>1135</v>
      </c>
      <c r="R90" s="13" t="s">
        <v>1136</v>
      </c>
      <c r="S90" s="13">
        <v>2000</v>
      </c>
      <c r="T90" s="13">
        <v>5</v>
      </c>
      <c r="U90" s="16" t="s">
        <v>1137</v>
      </c>
    </row>
    <row r="91" customHeight="1" spans="9:21">
      <c r="I91" s="273" t="s">
        <v>195</v>
      </c>
      <c r="R91" s="13" t="s">
        <v>1138</v>
      </c>
      <c r="S91" s="13">
        <v>500</v>
      </c>
      <c r="T91" s="13">
        <v>6</v>
      </c>
      <c r="U91" s="16" t="s">
        <v>1139</v>
      </c>
    </row>
    <row r="92" customHeight="1" spans="8:21">
      <c r="H92" s="14" t="s">
        <v>1140</v>
      </c>
      <c r="I92" s="13" t="s">
        <v>1141</v>
      </c>
      <c r="J92" s="13">
        <v>3</v>
      </c>
      <c r="K92" s="13" t="s">
        <v>1142</v>
      </c>
      <c r="L92" s="13">
        <v>6</v>
      </c>
      <c r="M92" s="13" t="s">
        <v>1143</v>
      </c>
      <c r="N92" s="13">
        <v>9</v>
      </c>
      <c r="O92" s="13" t="s">
        <v>1144</v>
      </c>
      <c r="R92" s="13" t="s">
        <v>1145</v>
      </c>
      <c r="S92" s="13">
        <v>1000</v>
      </c>
      <c r="T92" s="13">
        <v>1</v>
      </c>
      <c r="U92" s="16" t="s">
        <v>1146</v>
      </c>
    </row>
    <row r="93" customHeight="1" spans="9:21">
      <c r="I93" s="13" t="s">
        <v>288</v>
      </c>
      <c r="J93" s="13">
        <v>3</v>
      </c>
      <c r="K93" s="13" t="s">
        <v>1147</v>
      </c>
      <c r="L93" s="13">
        <v>6</v>
      </c>
      <c r="M93" s="13" t="s">
        <v>1148</v>
      </c>
      <c r="N93" s="13">
        <v>9</v>
      </c>
      <c r="O93" s="13" t="s">
        <v>1149</v>
      </c>
      <c r="R93" s="13" t="s">
        <v>1150</v>
      </c>
      <c r="S93" s="13">
        <v>800</v>
      </c>
      <c r="T93" s="13">
        <v>6</v>
      </c>
      <c r="U93" s="16" t="s">
        <v>1151</v>
      </c>
    </row>
    <row r="94" customHeight="1" spans="9:21">
      <c r="I94" s="13" t="s">
        <v>292</v>
      </c>
      <c r="J94" s="13">
        <v>4</v>
      </c>
      <c r="K94" s="13" t="s">
        <v>1152</v>
      </c>
      <c r="L94" s="13">
        <v>11</v>
      </c>
      <c r="M94" s="13" t="s">
        <v>1153</v>
      </c>
      <c r="R94" s="13" t="s">
        <v>1154</v>
      </c>
      <c r="S94" s="13">
        <v>1000</v>
      </c>
      <c r="T94" s="13">
        <v>24</v>
      </c>
      <c r="U94" s="16" t="s">
        <v>1155</v>
      </c>
    </row>
    <row r="95" customHeight="1" spans="9:21">
      <c r="I95" s="13" t="s">
        <v>1156</v>
      </c>
      <c r="J95" s="13">
        <v>3</v>
      </c>
      <c r="K95" s="13" t="s">
        <v>1157</v>
      </c>
      <c r="L95" s="13">
        <v>6</v>
      </c>
      <c r="M95" s="13" t="s">
        <v>1158</v>
      </c>
      <c r="N95" s="13">
        <v>9</v>
      </c>
      <c r="O95" s="13" t="s">
        <v>1159</v>
      </c>
      <c r="R95" s="13" t="s">
        <v>1160</v>
      </c>
      <c r="S95" s="13">
        <v>2200</v>
      </c>
      <c r="T95" s="13">
        <v>28</v>
      </c>
      <c r="U95" s="16" t="s">
        <v>1161</v>
      </c>
    </row>
    <row r="96" customHeight="1" spans="9:21">
      <c r="I96" s="13" t="s">
        <v>1162</v>
      </c>
      <c r="J96" s="13">
        <v>3</v>
      </c>
      <c r="K96" s="13" t="s">
        <v>1163</v>
      </c>
      <c r="L96" s="13">
        <v>6</v>
      </c>
      <c r="M96" s="13" t="s">
        <v>1164</v>
      </c>
      <c r="N96" s="13">
        <v>9</v>
      </c>
      <c r="O96" s="13" t="s">
        <v>1165</v>
      </c>
      <c r="R96" s="13" t="s">
        <v>1166</v>
      </c>
      <c r="S96" s="13">
        <v>500</v>
      </c>
      <c r="T96" s="13">
        <v>12</v>
      </c>
      <c r="U96" s="16" t="s">
        <v>1167</v>
      </c>
    </row>
    <row r="97" customHeight="1" spans="9:21">
      <c r="I97" s="13" t="s">
        <v>1168</v>
      </c>
      <c r="J97" s="13">
        <v>4</v>
      </c>
      <c r="K97" s="13" t="s">
        <v>1169</v>
      </c>
      <c r="L97" s="13">
        <v>11</v>
      </c>
      <c r="M97" s="13" t="s">
        <v>1170</v>
      </c>
      <c r="R97" s="13" t="s">
        <v>1171</v>
      </c>
      <c r="S97" s="13">
        <v>900</v>
      </c>
      <c r="T97" s="13">
        <v>2</v>
      </c>
      <c r="U97" s="16" t="s">
        <v>1172</v>
      </c>
    </row>
    <row r="98" customHeight="1" spans="9:21">
      <c r="I98" s="13" t="s">
        <v>1173</v>
      </c>
      <c r="J98" s="13">
        <v>3</v>
      </c>
      <c r="K98" s="13" t="s">
        <v>1174</v>
      </c>
      <c r="L98" s="13">
        <v>6</v>
      </c>
      <c r="M98" s="13" t="s">
        <v>1175</v>
      </c>
      <c r="N98" s="13">
        <v>9</v>
      </c>
      <c r="O98" s="13" t="s">
        <v>1176</v>
      </c>
      <c r="R98" s="13" t="s">
        <v>1177</v>
      </c>
      <c r="S98" s="13">
        <v>300</v>
      </c>
      <c r="T98" s="13">
        <v>6</v>
      </c>
      <c r="U98" s="16" t="s">
        <v>1178</v>
      </c>
    </row>
    <row r="99" customHeight="1" spans="9:21">
      <c r="I99" s="13" t="s">
        <v>1179</v>
      </c>
      <c r="J99" s="13">
        <v>3</v>
      </c>
      <c r="K99" s="13" t="s">
        <v>1180</v>
      </c>
      <c r="L99" s="13">
        <v>6</v>
      </c>
      <c r="M99" s="13" t="s">
        <v>1181</v>
      </c>
      <c r="N99" s="13">
        <v>9</v>
      </c>
      <c r="O99" s="13" t="s">
        <v>1182</v>
      </c>
      <c r="R99" s="13" t="s">
        <v>289</v>
      </c>
      <c r="S99" s="13">
        <v>650</v>
      </c>
      <c r="T99" s="13">
        <v>8</v>
      </c>
      <c r="U99" s="16" t="s">
        <v>1183</v>
      </c>
    </row>
    <row r="100" customHeight="1" spans="9:21">
      <c r="I100" s="13" t="s">
        <v>305</v>
      </c>
      <c r="J100" s="13">
        <v>4</v>
      </c>
      <c r="K100" s="13" t="s">
        <v>1184</v>
      </c>
      <c r="L100" s="13">
        <v>11</v>
      </c>
      <c r="M100" s="13" t="s">
        <v>1185</v>
      </c>
      <c r="R100" s="13" t="s">
        <v>1186</v>
      </c>
      <c r="S100" s="13">
        <v>1000</v>
      </c>
      <c r="T100" s="13">
        <v>1</v>
      </c>
      <c r="U100" s="16" t="s">
        <v>1187</v>
      </c>
    </row>
    <row r="101" customHeight="1" spans="9:21">
      <c r="I101" s="13" t="s">
        <v>1188</v>
      </c>
      <c r="J101" s="13">
        <v>5</v>
      </c>
      <c r="K101" s="13" t="s">
        <v>1189</v>
      </c>
      <c r="L101" s="13">
        <v>10</v>
      </c>
      <c r="M101" s="13" t="s">
        <v>1190</v>
      </c>
      <c r="N101" s="13">
        <v>15</v>
      </c>
      <c r="O101" s="13" t="s">
        <v>1191</v>
      </c>
      <c r="R101" s="13" t="s">
        <v>1192</v>
      </c>
      <c r="S101" s="13">
        <v>3000</v>
      </c>
      <c r="T101" s="13">
        <v>6</v>
      </c>
      <c r="U101" s="16" t="s">
        <v>1193</v>
      </c>
    </row>
    <row r="102" customHeight="1" spans="18:21">
      <c r="R102" s="13" t="s">
        <v>1194</v>
      </c>
      <c r="S102" s="13">
        <v>400</v>
      </c>
      <c r="T102" s="13">
        <v>4</v>
      </c>
      <c r="U102" s="16" t="s">
        <v>1195</v>
      </c>
    </row>
    <row r="103" customHeight="1" spans="18:21">
      <c r="R103" s="13" t="s">
        <v>1196</v>
      </c>
      <c r="S103" s="13">
        <v>1000</v>
      </c>
      <c r="T103" s="13">
        <v>1</v>
      </c>
      <c r="U103" s="16" t="s">
        <v>1197</v>
      </c>
    </row>
    <row r="104" customHeight="1" spans="18:21">
      <c r="R104" s="13" t="s">
        <v>1198</v>
      </c>
      <c r="S104" s="13">
        <v>2000</v>
      </c>
      <c r="T104" s="13">
        <v>13</v>
      </c>
      <c r="U104" s="16" t="s">
        <v>1199</v>
      </c>
    </row>
    <row r="105" customHeight="1" spans="18:21">
      <c r="R105" s="13" t="s">
        <v>1200</v>
      </c>
      <c r="S105" s="13">
        <v>900</v>
      </c>
      <c r="T105" s="13">
        <v>5</v>
      </c>
      <c r="U105" s="16" t="s">
        <v>1201</v>
      </c>
    </row>
    <row r="106" customHeight="1" spans="18:21">
      <c r="R106" s="13" t="s">
        <v>1202</v>
      </c>
      <c r="S106" s="13">
        <v>1550</v>
      </c>
      <c r="T106" s="13">
        <v>8</v>
      </c>
      <c r="U106" s="16" t="s">
        <v>1203</v>
      </c>
    </row>
    <row r="107" customHeight="1" spans="18:21">
      <c r="R107" s="13" t="s">
        <v>1204</v>
      </c>
      <c r="S107" s="13">
        <v>60</v>
      </c>
      <c r="T107" s="13">
        <v>0.5</v>
      </c>
      <c r="U107" s="16" t="s">
        <v>1205</v>
      </c>
    </row>
    <row r="108" customHeight="1" spans="18:21">
      <c r="R108" s="13" t="s">
        <v>1206</v>
      </c>
      <c r="S108" s="13">
        <v>60</v>
      </c>
      <c r="T108" s="13">
        <v>0.5</v>
      </c>
      <c r="U108" s="16" t="s">
        <v>1207</v>
      </c>
    </row>
    <row r="109" customHeight="1" spans="18:21">
      <c r="R109" s="13" t="s">
        <v>1208</v>
      </c>
      <c r="S109" s="13">
        <v>60</v>
      </c>
      <c r="T109" s="13">
        <v>0.5</v>
      </c>
      <c r="U109" s="16" t="s">
        <v>1209</v>
      </c>
    </row>
    <row r="110" customHeight="1" spans="18:21">
      <c r="R110" s="13" t="s">
        <v>1210</v>
      </c>
      <c r="S110" s="13">
        <v>600</v>
      </c>
      <c r="T110" s="13">
        <v>6</v>
      </c>
      <c r="U110" s="16" t="s">
        <v>1211</v>
      </c>
    </row>
    <row r="111" customHeight="1" spans="18:21">
      <c r="R111" s="13" t="s">
        <v>1212</v>
      </c>
      <c r="S111" s="13">
        <v>1100</v>
      </c>
      <c r="T111" s="13">
        <v>11</v>
      </c>
      <c r="U111" s="16" t="s">
        <v>1213</v>
      </c>
    </row>
    <row r="112" customHeight="1" spans="18:21">
      <c r="R112" s="13" t="s">
        <v>1214</v>
      </c>
      <c r="S112" s="13">
        <v>1800</v>
      </c>
      <c r="T112" s="13">
        <v>14</v>
      </c>
      <c r="U112" s="16" t="s">
        <v>1215</v>
      </c>
    </row>
    <row r="113" customHeight="1" spans="18:21">
      <c r="R113" s="13" t="s">
        <v>1216</v>
      </c>
      <c r="S113" s="13">
        <v>2600</v>
      </c>
      <c r="T113" s="13">
        <v>8</v>
      </c>
      <c r="U113" s="16" t="s">
        <v>1217</v>
      </c>
    </row>
    <row r="114" customHeight="1" spans="18:21">
      <c r="R114" s="13" t="s">
        <v>1218</v>
      </c>
      <c r="S114" s="13">
        <v>1200</v>
      </c>
      <c r="T114" s="13">
        <v>2</v>
      </c>
      <c r="U114" s="16" t="s">
        <v>1219</v>
      </c>
    </row>
    <row r="115" customHeight="1" spans="18:21">
      <c r="R115" s="13" t="s">
        <v>1220</v>
      </c>
      <c r="S115" s="13">
        <v>500</v>
      </c>
      <c r="T115" s="13">
        <v>6</v>
      </c>
      <c r="U115" s="16" t="s">
        <v>1221</v>
      </c>
    </row>
    <row r="116" customHeight="1" spans="18:21">
      <c r="R116" s="13" t="s">
        <v>1222</v>
      </c>
      <c r="S116" s="13">
        <v>1200</v>
      </c>
      <c r="T116" s="13">
        <v>11</v>
      </c>
      <c r="U116" s="16" t="s">
        <v>1223</v>
      </c>
    </row>
    <row r="117" customHeight="1" spans="18:21">
      <c r="R117" s="13" t="s">
        <v>1224</v>
      </c>
      <c r="S117" s="13">
        <v>1800</v>
      </c>
      <c r="T117" s="13">
        <v>14</v>
      </c>
      <c r="U117" s="15" t="s">
        <v>1225</v>
      </c>
    </row>
    <row r="118" customHeight="1" spans="18:21">
      <c r="R118" s="13" t="s">
        <v>1226</v>
      </c>
      <c r="S118" s="13">
        <v>1800</v>
      </c>
      <c r="T118" s="13">
        <v>6</v>
      </c>
      <c r="U118" s="16" t="s">
        <v>1227</v>
      </c>
    </row>
    <row r="119" customHeight="1" spans="18:21">
      <c r="R119" s="13" t="s">
        <v>1228</v>
      </c>
      <c r="S119" s="13">
        <v>4000</v>
      </c>
      <c r="T119" s="13">
        <v>11</v>
      </c>
      <c r="U119" s="16" t="s">
        <v>1229</v>
      </c>
    </row>
    <row r="120" customHeight="1" spans="18:21">
      <c r="R120" s="13" t="s">
        <v>1230</v>
      </c>
      <c r="S120" s="13">
        <v>1250</v>
      </c>
      <c r="T120" s="13">
        <v>12</v>
      </c>
      <c r="U120" s="15" t="s">
        <v>1231</v>
      </c>
    </row>
    <row r="121" customHeight="1" spans="18:21">
      <c r="R121" s="13" t="s">
        <v>1232</v>
      </c>
      <c r="S121" s="13">
        <v>1800</v>
      </c>
      <c r="T121" s="13">
        <v>12</v>
      </c>
      <c r="U121" s="15" t="s">
        <v>1233</v>
      </c>
    </row>
    <row r="122" customHeight="1" spans="18:21">
      <c r="R122" s="13" t="s">
        <v>1234</v>
      </c>
      <c r="S122" s="13">
        <v>2600</v>
      </c>
      <c r="T122" s="13">
        <v>12</v>
      </c>
      <c r="U122" s="15" t="s">
        <v>1235</v>
      </c>
    </row>
    <row r="123" customHeight="1" spans="18:21">
      <c r="R123" s="13" t="s">
        <v>1236</v>
      </c>
      <c r="S123" s="13">
        <v>1600</v>
      </c>
      <c r="T123" s="13">
        <v>12</v>
      </c>
      <c r="U123" s="15" t="s">
        <v>1237</v>
      </c>
    </row>
    <row r="124" customHeight="1" spans="18:21">
      <c r="R124" s="13" t="s">
        <v>1238</v>
      </c>
      <c r="S124" s="13">
        <v>3200</v>
      </c>
      <c r="T124" s="13">
        <v>23</v>
      </c>
      <c r="U124" s="16" t="s">
        <v>1239</v>
      </c>
    </row>
    <row r="125" customHeight="1" spans="18:21">
      <c r="R125" s="13" t="s">
        <v>1240</v>
      </c>
      <c r="S125" s="13">
        <v>2660</v>
      </c>
      <c r="T125" s="13">
        <v>3</v>
      </c>
      <c r="U125" s="16" t="s">
        <v>1241</v>
      </c>
    </row>
    <row r="126" customHeight="1" spans="18:21">
      <c r="R126" s="13" t="s">
        <v>1242</v>
      </c>
      <c r="S126" s="13">
        <v>2870</v>
      </c>
      <c r="T126" s="13">
        <v>32</v>
      </c>
      <c r="U126" s="16" t="s">
        <v>1243</v>
      </c>
    </row>
    <row r="127" customHeight="1" spans="18:21">
      <c r="R127" s="13" t="s">
        <v>1244</v>
      </c>
      <c r="S127" s="13">
        <v>2200</v>
      </c>
      <c r="T127" s="13">
        <v>12</v>
      </c>
      <c r="U127" s="15" t="s">
        <v>1245</v>
      </c>
    </row>
    <row r="128" customHeight="1" spans="18:21">
      <c r="R128" s="13" t="s">
        <v>1246</v>
      </c>
      <c r="S128" s="13">
        <v>2790</v>
      </c>
      <c r="T128" s="13">
        <v>12</v>
      </c>
      <c r="U128" s="15" t="s">
        <v>1247</v>
      </c>
    </row>
    <row r="129" customHeight="1" spans="18:21">
      <c r="R129" s="13" t="s">
        <v>1248</v>
      </c>
      <c r="S129" s="13">
        <v>4000</v>
      </c>
      <c r="T129" s="13">
        <v>12</v>
      </c>
      <c r="U129" s="15" t="s">
        <v>1249</v>
      </c>
    </row>
    <row r="130" customHeight="1" spans="18:18">
      <c r="R130" s="273" t="s">
        <v>195</v>
      </c>
    </row>
    <row r="131" customHeight="1" spans="17:21">
      <c r="Q131" s="14" t="s">
        <v>170</v>
      </c>
      <c r="R131" s="13" t="s">
        <v>1250</v>
      </c>
      <c r="S131" s="13">
        <v>450</v>
      </c>
      <c r="T131" s="13">
        <v>5</v>
      </c>
      <c r="U131" s="15" t="s">
        <v>1251</v>
      </c>
    </row>
    <row r="132" customHeight="1" spans="18:21">
      <c r="R132" s="13" t="s">
        <v>293</v>
      </c>
      <c r="S132" s="13">
        <v>750</v>
      </c>
      <c r="T132" s="13">
        <v>6</v>
      </c>
      <c r="U132" s="15" t="s">
        <v>1252</v>
      </c>
    </row>
    <row r="133" customHeight="1" spans="18:21">
      <c r="R133" s="13" t="s">
        <v>1253</v>
      </c>
      <c r="S133" s="13">
        <v>1200</v>
      </c>
      <c r="T133" s="13">
        <v>1</v>
      </c>
      <c r="U133" s="15" t="s">
        <v>1254</v>
      </c>
    </row>
    <row r="134" customHeight="1" spans="18:21">
      <c r="R134" s="13" t="s">
        <v>1255</v>
      </c>
      <c r="S134" s="13">
        <v>250</v>
      </c>
      <c r="T134" s="13">
        <v>3</v>
      </c>
      <c r="U134" s="15" t="s">
        <v>1256</v>
      </c>
    </row>
    <row r="135" customHeight="1" spans="18:21">
      <c r="R135" s="13" t="s">
        <v>1257</v>
      </c>
      <c r="S135" s="13">
        <v>500</v>
      </c>
      <c r="T135" s="13">
        <v>3</v>
      </c>
      <c r="U135" s="15" t="s">
        <v>1258</v>
      </c>
    </row>
    <row r="136" customHeight="1" spans="18:21">
      <c r="R136" s="13" t="s">
        <v>1259</v>
      </c>
      <c r="S136" s="13">
        <v>900</v>
      </c>
      <c r="T136" s="13">
        <v>3</v>
      </c>
      <c r="U136" s="15" t="s">
        <v>1260</v>
      </c>
    </row>
    <row r="137" customHeight="1" spans="18:21">
      <c r="R137" s="13" t="s">
        <v>1261</v>
      </c>
      <c r="S137" s="13">
        <v>900</v>
      </c>
      <c r="T137" s="13">
        <v>3</v>
      </c>
      <c r="U137" s="15" t="s">
        <v>1262</v>
      </c>
    </row>
    <row r="138" customHeight="1" spans="18:21">
      <c r="R138" s="13" t="s">
        <v>1263</v>
      </c>
      <c r="S138" s="13">
        <v>900</v>
      </c>
      <c r="T138" s="13">
        <v>3</v>
      </c>
      <c r="U138" s="274" t="s">
        <v>1264</v>
      </c>
    </row>
    <row r="139" customHeight="1" spans="18:21">
      <c r="R139" s="13" t="s">
        <v>295</v>
      </c>
      <c r="S139" s="13">
        <v>400</v>
      </c>
      <c r="T139" s="13">
        <v>2</v>
      </c>
      <c r="U139" s="15" t="s">
        <v>1265</v>
      </c>
    </row>
    <row r="140" customHeight="1" spans="18:21">
      <c r="R140" s="13" t="s">
        <v>1266</v>
      </c>
      <c r="S140" s="13">
        <v>900</v>
      </c>
      <c r="T140" s="13">
        <v>6</v>
      </c>
      <c r="U140" s="15" t="s">
        <v>1267</v>
      </c>
    </row>
    <row r="141" customHeight="1" spans="18:21">
      <c r="R141" s="13" t="s">
        <v>1268</v>
      </c>
      <c r="S141" s="13">
        <v>600</v>
      </c>
      <c r="T141" s="13">
        <v>1</v>
      </c>
      <c r="U141" s="274" t="s">
        <v>1269</v>
      </c>
    </row>
    <row r="142" customHeight="1" spans="18:21">
      <c r="R142" s="13" t="s">
        <v>1270</v>
      </c>
      <c r="S142" s="13">
        <v>600</v>
      </c>
      <c r="T142" s="13">
        <v>1</v>
      </c>
      <c r="U142" s="15" t="s">
        <v>1271</v>
      </c>
    </row>
    <row r="143" customHeight="1" spans="18:21">
      <c r="R143" s="13" t="s">
        <v>1272</v>
      </c>
      <c r="S143" s="13">
        <v>250</v>
      </c>
      <c r="T143" s="13">
        <v>1</v>
      </c>
      <c r="U143" s="15" t="s">
        <v>1273</v>
      </c>
    </row>
    <row r="144" customHeight="1" spans="18:21">
      <c r="R144" s="13" t="s">
        <v>1274</v>
      </c>
      <c r="S144" s="13">
        <v>800</v>
      </c>
      <c r="U144" s="15" t="s">
        <v>1275</v>
      </c>
    </row>
    <row r="145" customHeight="1" spans="18:21">
      <c r="R145" s="13" t="s">
        <v>1276</v>
      </c>
      <c r="S145" s="13">
        <v>600</v>
      </c>
      <c r="T145" s="13">
        <v>3</v>
      </c>
      <c r="U145" s="15" t="s">
        <v>1277</v>
      </c>
    </row>
    <row r="146" customHeight="1" spans="18:21">
      <c r="R146" s="13" t="s">
        <v>129</v>
      </c>
      <c r="S146" s="13">
        <v>1200</v>
      </c>
      <c r="T146" s="13">
        <v>4</v>
      </c>
      <c r="U146" s="15" t="s">
        <v>1278</v>
      </c>
    </row>
    <row r="147" customHeight="1" spans="18:21">
      <c r="R147" s="13" t="s">
        <v>1279</v>
      </c>
      <c r="S147" s="13">
        <v>2400</v>
      </c>
      <c r="T147" s="13">
        <v>7</v>
      </c>
      <c r="U147" s="15" t="s">
        <v>1280</v>
      </c>
    </row>
    <row r="148" customHeight="1" spans="18:21">
      <c r="R148" s="13" t="s">
        <v>1281</v>
      </c>
      <c r="S148" s="13">
        <v>4000</v>
      </c>
      <c r="T148" s="13">
        <v>8</v>
      </c>
      <c r="U148" s="15" t="s">
        <v>1282</v>
      </c>
    </row>
    <row r="149" customHeight="1" spans="18:18">
      <c r="R149" s="273" t="s">
        <v>195</v>
      </c>
    </row>
    <row r="150" customHeight="1" spans="17:21">
      <c r="Q150" s="14" t="s">
        <v>1283</v>
      </c>
      <c r="R150" s="13" t="s">
        <v>1284</v>
      </c>
      <c r="S150" s="13">
        <v>700</v>
      </c>
      <c r="T150" s="13">
        <v>1</v>
      </c>
      <c r="U150" s="15" t="s">
        <v>1285</v>
      </c>
    </row>
    <row r="151" customHeight="1" spans="18:21">
      <c r="R151" s="13" t="s">
        <v>1286</v>
      </c>
      <c r="S151" s="13">
        <v>700</v>
      </c>
      <c r="T151" s="13">
        <v>1</v>
      </c>
      <c r="U151" s="15" t="s">
        <v>1287</v>
      </c>
    </row>
    <row r="152" customHeight="1" spans="18:21">
      <c r="R152" s="13" t="s">
        <v>1288</v>
      </c>
      <c r="S152" s="13">
        <v>300</v>
      </c>
      <c r="T152" s="13">
        <v>3</v>
      </c>
      <c r="U152" s="16" t="s">
        <v>1289</v>
      </c>
    </row>
    <row r="153" customHeight="1" spans="18:21">
      <c r="R153" s="13" t="s">
        <v>1290</v>
      </c>
      <c r="S153" s="13">
        <v>350</v>
      </c>
      <c r="T153" s="13">
        <v>2</v>
      </c>
      <c r="U153" s="15" t="s">
        <v>1291</v>
      </c>
    </row>
    <row r="154" customHeight="1" spans="18:21">
      <c r="R154" s="13" t="s">
        <v>1292</v>
      </c>
      <c r="S154" s="13">
        <v>30</v>
      </c>
      <c r="T154" s="13">
        <v>1</v>
      </c>
      <c r="U154" s="15" t="s">
        <v>1293</v>
      </c>
    </row>
    <row r="155" customHeight="1" spans="18:21">
      <c r="R155" s="13" t="s">
        <v>1294</v>
      </c>
      <c r="S155" s="13">
        <v>780</v>
      </c>
      <c r="T155" s="13">
        <v>19</v>
      </c>
      <c r="U155" s="15" t="s">
        <v>1295</v>
      </c>
    </row>
    <row r="156" customHeight="1" spans="18:21">
      <c r="R156" s="13" t="s">
        <v>1296</v>
      </c>
      <c r="S156" s="13">
        <v>650</v>
      </c>
      <c r="T156" s="13">
        <v>1</v>
      </c>
      <c r="U156" s="16" t="s">
        <v>1297</v>
      </c>
    </row>
    <row r="157" customHeight="1" spans="18:21">
      <c r="R157" s="13" t="s">
        <v>1298</v>
      </c>
      <c r="S157" s="13">
        <v>1200</v>
      </c>
      <c r="T157" s="13">
        <v>8</v>
      </c>
      <c r="U157" s="16" t="s">
        <v>1299</v>
      </c>
    </row>
    <row r="158" customHeight="1" spans="18:18">
      <c r="R158" s="273" t="s">
        <v>195</v>
      </c>
    </row>
    <row r="159" customHeight="1" spans="17:21">
      <c r="Q159" s="14" t="s">
        <v>1300</v>
      </c>
      <c r="R159" s="13" t="s">
        <v>1301</v>
      </c>
      <c r="S159" s="13">
        <v>20</v>
      </c>
      <c r="T159" s="13">
        <v>0.1</v>
      </c>
      <c r="U159" s="15" t="s">
        <v>1302</v>
      </c>
    </row>
    <row r="160" customHeight="1" spans="18:21">
      <c r="R160" s="13" t="s">
        <v>1303</v>
      </c>
      <c r="S160" s="13">
        <v>250</v>
      </c>
      <c r="T160" s="13">
        <v>0.1</v>
      </c>
      <c r="U160" s="15" t="s">
        <v>1304</v>
      </c>
    </row>
    <row r="161" customHeight="1" spans="18:21">
      <c r="R161" s="13" t="s">
        <v>298</v>
      </c>
      <c r="S161" s="13">
        <v>100</v>
      </c>
      <c r="T161" s="13">
        <v>0.1</v>
      </c>
      <c r="U161" s="15" t="s">
        <v>1305</v>
      </c>
    </row>
    <row r="162" customHeight="1" spans="18:21">
      <c r="R162" s="13" t="s">
        <v>1306</v>
      </c>
      <c r="S162" s="13">
        <v>100</v>
      </c>
      <c r="T162" s="13">
        <v>0.1</v>
      </c>
      <c r="U162" s="15" t="s">
        <v>1307</v>
      </c>
    </row>
    <row r="163" customHeight="1" spans="18:18">
      <c r="R163" s="273" t="s">
        <v>195</v>
      </c>
    </row>
    <row r="164" customHeight="1" spans="17:21">
      <c r="Q164" s="14" t="s">
        <v>1308</v>
      </c>
      <c r="R164" s="13" t="s">
        <v>1309</v>
      </c>
      <c r="S164" s="13">
        <v>200</v>
      </c>
      <c r="T164" s="13">
        <v>0.1</v>
      </c>
      <c r="U164" s="15" t="s">
        <v>1310</v>
      </c>
    </row>
    <row r="165" customHeight="1" spans="18:21">
      <c r="R165" s="13" t="s">
        <v>1311</v>
      </c>
      <c r="S165" s="13">
        <v>1000</v>
      </c>
      <c r="T165" s="13">
        <v>0.3</v>
      </c>
      <c r="U165" s="15" t="s">
        <v>1312</v>
      </c>
    </row>
    <row r="166" customHeight="1" spans="18:21">
      <c r="R166" s="13" t="s">
        <v>1313</v>
      </c>
      <c r="S166" s="13">
        <v>200</v>
      </c>
      <c r="T166" s="13">
        <v>0.1</v>
      </c>
      <c r="U166" s="15" t="s">
        <v>772</v>
      </c>
    </row>
    <row r="167" customHeight="1" spans="18:21">
      <c r="R167" s="13" t="s">
        <v>1314</v>
      </c>
      <c r="S167" s="13">
        <v>1000</v>
      </c>
      <c r="T167" s="13">
        <v>0.2</v>
      </c>
      <c r="U167" s="15" t="s">
        <v>1315</v>
      </c>
    </row>
    <row r="168" customHeight="1" spans="18:18">
      <c r="R168" s="273" t="s">
        <v>195</v>
      </c>
    </row>
  </sheetData>
  <conditionalFormatting sqref="B$1:B$1048576">
    <cfRule type="duplicateValues" dxfId="0" priority="1"/>
  </conditionalFormatting>
  <pageMargins left="0.7" right="0.7" top="0.75" bottom="0.75" header="0.3" footer="0.3"/>
  <pageSetup paperSize="9" scale="75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AV31"/>
  <sheetViews>
    <sheetView showGridLines="0" zoomScale="55" zoomScaleNormal="55" workbookViewId="0">
      <selection activeCell="P13" sqref="P13:Q14"/>
    </sheetView>
  </sheetViews>
  <sheetFormatPr defaultColWidth="6.375" defaultRowHeight="39.75" customHeight="1"/>
  <cols>
    <col min="1" max="16384" width="6.375" style="1"/>
  </cols>
  <sheetData>
    <row r="1" ht="13.5"/>
    <row r="2" ht="13.5"/>
    <row r="3" ht="14.25"/>
    <row r="4" customHeight="1" spans="4:23">
      <c r="D4" s="2" t="s">
        <v>1316</v>
      </c>
      <c r="E4" s="2"/>
      <c r="V4" s="2" t="s">
        <v>1317</v>
      </c>
      <c r="W4" s="2"/>
    </row>
    <row r="5" customHeight="1" spans="4:23">
      <c r="D5" s="2"/>
      <c r="E5" s="2"/>
      <c r="V5" s="2"/>
      <c r="W5" s="2"/>
    </row>
    <row r="6" customHeight="1" spans="4:21">
      <c r="D6" s="3"/>
      <c r="U6" s="11"/>
    </row>
    <row r="7" customHeight="1" spans="4:20">
      <c r="D7" s="3"/>
      <c r="T7" s="11"/>
    </row>
    <row r="8" customHeight="1" spans="4:19">
      <c r="D8" s="3"/>
      <c r="S8" s="11"/>
    </row>
    <row r="9" customHeight="1" spans="4:18">
      <c r="D9" s="3"/>
      <c r="R9" s="11"/>
    </row>
    <row r="10" customHeight="1" spans="4:17">
      <c r="D10" s="2" t="s">
        <v>1318</v>
      </c>
      <c r="E10" s="2"/>
      <c r="P10" s="2" t="s">
        <v>1319</v>
      </c>
      <c r="Q10" s="2"/>
    </row>
    <row r="11" customHeight="1" spans="4:17">
      <c r="D11" s="2"/>
      <c r="E11" s="2"/>
      <c r="P11" s="2"/>
      <c r="Q11" s="2"/>
    </row>
    <row r="12" customHeight="1" spans="6:16">
      <c r="F12" s="4"/>
      <c r="O12" s="5"/>
      <c r="P12" s="6"/>
    </row>
    <row r="13" customHeight="1" spans="7:17">
      <c r="G13" s="2" t="s">
        <v>1320</v>
      </c>
      <c r="H13" s="2"/>
      <c r="M13" s="7" t="s">
        <v>1321</v>
      </c>
      <c r="N13" s="7"/>
      <c r="P13" s="7" t="s">
        <v>1322</v>
      </c>
      <c r="Q13" s="7"/>
    </row>
    <row r="14" customHeight="1" spans="7:17">
      <c r="G14" s="2"/>
      <c r="H14" s="2"/>
      <c r="M14" s="7"/>
      <c r="N14" s="7"/>
      <c r="O14" s="8"/>
      <c r="P14" s="7"/>
      <c r="Q14" s="7"/>
    </row>
    <row r="15" customHeight="1" spans="6:16">
      <c r="F15" s="5"/>
      <c r="G15" s="6"/>
      <c r="I15" s="4"/>
      <c r="L15" s="5"/>
      <c r="M15" s="6"/>
      <c r="O15" s="9"/>
      <c r="P15" s="6"/>
    </row>
    <row r="16" customHeight="1" spans="4:45">
      <c r="D16" s="7" t="s">
        <v>1323</v>
      </c>
      <c r="E16" s="7"/>
      <c r="G16" s="2" t="s">
        <v>1324</v>
      </c>
      <c r="H16" s="2"/>
      <c r="J16" s="2" t="s">
        <v>1325</v>
      </c>
      <c r="K16" s="2"/>
      <c r="M16" s="7" t="s">
        <v>1326</v>
      </c>
      <c r="N16" s="7"/>
      <c r="P16" s="7" t="s">
        <v>1327</v>
      </c>
      <c r="Q16" s="7"/>
      <c r="V16" s="2" t="s">
        <v>1328</v>
      </c>
      <c r="W16" s="2"/>
      <c r="Z16" s="12"/>
      <c r="AA16" s="12"/>
      <c r="AB16" s="12"/>
      <c r="AC16" s="12"/>
      <c r="AD16" s="12"/>
      <c r="AE16" s="12"/>
      <c r="AF16" s="2" t="s">
        <v>1328</v>
      </c>
      <c r="AG16" s="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customHeight="1" spans="4:45">
      <c r="D17" s="7"/>
      <c r="E17" s="7"/>
      <c r="F17" s="8"/>
      <c r="G17" s="2"/>
      <c r="H17" s="2"/>
      <c r="I17" s="10"/>
      <c r="J17" s="2"/>
      <c r="K17" s="2"/>
      <c r="L17" s="8"/>
      <c r="M17" s="7"/>
      <c r="N17" s="7"/>
      <c r="O17" s="8"/>
      <c r="P17" s="7"/>
      <c r="Q17" s="7"/>
      <c r="V17" s="2"/>
      <c r="W17" s="2"/>
      <c r="Z17" s="12"/>
      <c r="AA17" s="12"/>
      <c r="AB17" s="12"/>
      <c r="AC17" s="12"/>
      <c r="AD17" s="12"/>
      <c r="AE17" s="12"/>
      <c r="AF17" s="2"/>
      <c r="AG17" s="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</row>
    <row r="18" customHeight="1" spans="4:45">
      <c r="D18" s="6"/>
      <c r="J18" s="6"/>
      <c r="L18" s="5"/>
      <c r="O18" s="9"/>
      <c r="P18" s="6"/>
      <c r="U18" s="11"/>
      <c r="Z18" s="12"/>
      <c r="AA18" s="12"/>
      <c r="AB18" s="12"/>
      <c r="AC18" s="12"/>
      <c r="AD18" s="12"/>
      <c r="AE18" s="12"/>
      <c r="AF18" s="3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customHeight="1" spans="4:45">
      <c r="D19" s="7" t="s">
        <v>1329</v>
      </c>
      <c r="E19" s="7"/>
      <c r="J19" s="2" t="s">
        <v>1330</v>
      </c>
      <c r="K19" s="2"/>
      <c r="P19" s="2" t="s">
        <v>1331</v>
      </c>
      <c r="Q19" s="2"/>
      <c r="T19" s="11"/>
      <c r="Z19" s="12"/>
      <c r="AA19" s="12"/>
      <c r="AB19" s="12"/>
      <c r="AC19" s="12"/>
      <c r="AD19" s="12"/>
      <c r="AE19" s="12"/>
      <c r="AF19" s="3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</row>
    <row r="20" customHeight="1" spans="4:45">
      <c r="D20" s="7"/>
      <c r="E20" s="7"/>
      <c r="J20" s="2"/>
      <c r="K20" s="2"/>
      <c r="P20" s="2"/>
      <c r="Q20" s="2"/>
      <c r="R20" s="10"/>
      <c r="S20" s="10"/>
      <c r="T20" s="4"/>
      <c r="Z20" s="12"/>
      <c r="AA20" s="12"/>
      <c r="AB20" s="12"/>
      <c r="AC20" s="12"/>
      <c r="AD20" s="12"/>
      <c r="AE20" s="12"/>
      <c r="AF20" s="3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customHeight="1" spans="10:45">
      <c r="J21" s="3"/>
      <c r="U21" s="4"/>
      <c r="Z21" s="12"/>
      <c r="AA21" s="12"/>
      <c r="AB21" s="12"/>
      <c r="AC21" s="12"/>
      <c r="AD21" s="12"/>
      <c r="AE21" s="12"/>
      <c r="AF21" s="3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</row>
    <row r="22" customHeight="1" spans="10:45">
      <c r="J22" s="3"/>
      <c r="V22" s="2" t="s">
        <v>1332</v>
      </c>
      <c r="W22" s="2"/>
      <c r="Z22" s="2" t="s">
        <v>1332</v>
      </c>
      <c r="AA22" s="2"/>
      <c r="AB22" s="12"/>
      <c r="AC22" s="12"/>
      <c r="AD22" s="12"/>
      <c r="AE22" s="12"/>
      <c r="AF22" s="2" t="s">
        <v>1333</v>
      </c>
      <c r="AG22" s="2"/>
      <c r="AH22" s="12"/>
      <c r="AI22" s="7" t="s">
        <v>1334</v>
      </c>
      <c r="AJ22" s="7"/>
      <c r="AK22" s="12"/>
      <c r="AL22" s="12"/>
      <c r="AM22" s="12"/>
      <c r="AN22" s="12"/>
      <c r="AO22" s="12"/>
      <c r="AP22" s="12"/>
      <c r="AQ22" s="12"/>
      <c r="AR22" s="12"/>
      <c r="AS22" s="12"/>
    </row>
    <row r="23" customHeight="1" spans="10:45">
      <c r="J23" s="3"/>
      <c r="V23" s="2"/>
      <c r="W23" s="2"/>
      <c r="Z23" s="2"/>
      <c r="AA23" s="2"/>
      <c r="AB23" s="10"/>
      <c r="AC23" s="10"/>
      <c r="AD23" s="10"/>
      <c r="AE23" s="10"/>
      <c r="AF23" s="2"/>
      <c r="AG23" s="2"/>
      <c r="AH23" s="8"/>
      <c r="AI23" s="7"/>
      <c r="AJ23" s="7"/>
      <c r="AK23" s="12"/>
      <c r="AL23" s="12"/>
      <c r="AM23" s="12"/>
      <c r="AN23" s="12"/>
      <c r="AO23" s="12"/>
      <c r="AP23" s="12"/>
      <c r="AQ23" s="12"/>
      <c r="AR23" s="12"/>
      <c r="AS23" s="12"/>
    </row>
    <row r="24" customHeight="1" spans="10:45">
      <c r="J24" s="3"/>
      <c r="Z24" s="12"/>
      <c r="AA24" s="12"/>
      <c r="AB24" s="12"/>
      <c r="AC24" s="12"/>
      <c r="AD24" s="12"/>
      <c r="AE24" s="12"/>
      <c r="AF24" s="12"/>
      <c r="AG24" s="12"/>
      <c r="AH24" s="9"/>
      <c r="AI24" s="6"/>
      <c r="AJ24" s="12"/>
      <c r="AK24" s="9"/>
      <c r="AL24" s="12"/>
      <c r="AM24" s="12"/>
      <c r="AN24" s="12"/>
      <c r="AO24" s="12"/>
      <c r="AP24" s="12"/>
      <c r="AQ24" s="12"/>
      <c r="AR24" s="12"/>
      <c r="AS24" s="12"/>
    </row>
    <row r="25" customHeight="1" spans="10:48">
      <c r="J25" s="2" t="s">
        <v>1335</v>
      </c>
      <c r="K25" s="2"/>
      <c r="Z25" s="12"/>
      <c r="AA25" s="12"/>
      <c r="AB25" s="12"/>
      <c r="AC25" s="12"/>
      <c r="AD25" s="12"/>
      <c r="AE25" s="12"/>
      <c r="AF25" s="12"/>
      <c r="AG25" s="12"/>
      <c r="AH25" s="12"/>
      <c r="AI25" s="7" t="s">
        <v>1336</v>
      </c>
      <c r="AJ25" s="7"/>
      <c r="AK25" s="12"/>
      <c r="AL25" s="7" t="s">
        <v>1337</v>
      </c>
      <c r="AM25" s="7"/>
      <c r="AN25" s="12"/>
      <c r="AO25" s="2" t="s">
        <v>1338</v>
      </c>
      <c r="AP25" s="2"/>
      <c r="AQ25" s="12"/>
      <c r="AU25" s="2" t="s">
        <v>1339</v>
      </c>
      <c r="AV25" s="2"/>
    </row>
    <row r="26" customHeight="1" spans="10:48">
      <c r="J26" s="2"/>
      <c r="K26" s="2"/>
      <c r="Z26" s="12"/>
      <c r="AA26" s="12"/>
      <c r="AB26" s="12"/>
      <c r="AC26" s="12"/>
      <c r="AD26" s="12"/>
      <c r="AE26" s="12"/>
      <c r="AF26" s="12"/>
      <c r="AG26" s="12"/>
      <c r="AH26" s="12"/>
      <c r="AI26" s="7"/>
      <c r="AJ26" s="7"/>
      <c r="AK26" s="8"/>
      <c r="AL26" s="7"/>
      <c r="AM26" s="7"/>
      <c r="AN26" s="8"/>
      <c r="AO26" s="2"/>
      <c r="AP26" s="2"/>
      <c r="AQ26" s="10"/>
      <c r="AR26" s="10"/>
      <c r="AS26" s="10"/>
      <c r="AT26" s="10"/>
      <c r="AU26" s="2"/>
      <c r="AV26" s="2"/>
    </row>
    <row r="27" ht="14.25"/>
    <row r="28" ht="13.5"/>
    <row r="29" ht="13.5"/>
    <row r="30" ht="13.5"/>
    <row r="31" ht="13.5"/>
  </sheetData>
  <mergeCells count="26">
    <mergeCell ref="AI25:AJ26"/>
    <mergeCell ref="AO25:AP26"/>
    <mergeCell ref="AU25:AV26"/>
    <mergeCell ref="D10:E11"/>
    <mergeCell ref="P10:Q11"/>
    <mergeCell ref="D16:E17"/>
    <mergeCell ref="J16:K17"/>
    <mergeCell ref="P16:Q17"/>
    <mergeCell ref="V16:W17"/>
    <mergeCell ref="AF16:AG17"/>
    <mergeCell ref="D19:E20"/>
    <mergeCell ref="J19:K20"/>
    <mergeCell ref="P19:Q20"/>
    <mergeCell ref="G13:H14"/>
    <mergeCell ref="M13:N14"/>
    <mergeCell ref="J25:K26"/>
    <mergeCell ref="AL25:AM26"/>
    <mergeCell ref="D4:E5"/>
    <mergeCell ref="V4:W5"/>
    <mergeCell ref="AI22:AJ23"/>
    <mergeCell ref="G16:H17"/>
    <mergeCell ref="M16:N17"/>
    <mergeCell ref="P13:Q14"/>
    <mergeCell ref="V22:W23"/>
    <mergeCell ref="Z22:AA23"/>
    <mergeCell ref="AF22:AG2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角色卡 v0.8.1</vt:lpstr>
      <vt:lpstr>计算器</vt:lpstr>
      <vt:lpstr>查询附表</vt:lpstr>
      <vt:lpstr>地图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神秘回响人物卡</dc:title>
  <dc:creator>Mid_time</dc:creator>
  <cp:lastModifiedBy>池永焕</cp:lastModifiedBy>
  <dcterms:created xsi:type="dcterms:W3CDTF">2017-09-13T13:00:00Z</dcterms:created>
  <dcterms:modified xsi:type="dcterms:W3CDTF">2025-10-31T11:09:38Z</dcterms:modified>
  <cp:category>version 0.79.2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KSOProductBuildVer">
    <vt:lpwstr>2052-12.1.0.23125</vt:lpwstr>
  </property>
  <property fmtid="{D5CDD505-2E9C-101B-9397-08002B2CF9AE}" pid="4" name="ICV">
    <vt:lpwstr>be216c3f787944d9bd8a7f04a634e74a_23</vt:lpwstr>
  </property>
</Properties>
</file>